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b9df065a0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24097bcb81f48b4"/>
    <x:sheet xmlns:r="http://schemas.openxmlformats.org/officeDocument/2006/relationships" name="01_Macro_Input" sheetId="2" r:id="R537a841c98874e22"/>
    <x:sheet xmlns:r="http://schemas.openxmlformats.org/officeDocument/2006/relationships" name="02_Loan_Portfolio" sheetId="3" r:id="Rd001af38b22b498a"/>
    <x:sheet xmlns:r="http://schemas.openxmlformats.org/officeDocument/2006/relationships" name="03_PD_Model" sheetId="4" r:id="Raa5fa82703644563"/>
    <x:sheet xmlns:r="http://schemas.openxmlformats.org/officeDocument/2006/relationships" name="04_IFRS9_ECL" sheetId="5" r:id="Ra7b5ccfd8d314881"/>
    <x:sheet xmlns:r="http://schemas.openxmlformats.org/officeDocument/2006/relationships" name="05_Stress_Test" sheetId="6" r:id="R891757458e0e46b9"/>
    <x:sheet xmlns:r="http://schemas.openxmlformats.org/officeDocument/2006/relationships" name="06_Early_Warning" sheetId="7" r:id="R1c9e5647d11b4c45"/>
    <x:sheet xmlns:r="http://schemas.openxmlformats.org/officeDocument/2006/relationships" name="07_Model_Validation" sheetId="8" r:id="Rad9e57986ef84bde"/>
    <x:sheet xmlns:r="http://schemas.openxmlformats.org/officeDocument/2006/relationships" name="08_Dashboard" sheetId="9" r:id="Ra989e744db8942bf"/>
    <x:sheet xmlns:r="http://schemas.openxmlformats.org/officeDocument/2006/relationships" name="09_Governance" sheetId="10" r:id="R14b562d8daf04be1"/>
    <x:sheet xmlns:r="http://schemas.openxmlformats.org/officeDocument/2006/relationships" name="10_Sources" sheetId="11" r:id="R4a12bae9467f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#,##0;[Red](#,##0);-"/>
    <x:numFmt numFmtId="203" formatCode="0.00%"/>
  </x:numFmts>
  <x:fonts count="6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  <x:font>
      <x:sz val="11"/>
      <x:color rgb="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horizontal="center" vertical="center" wrapText="1"/>
    </x:xf>
    <x:xf numFmtId="202" fontId="2" fillId="3" borderId="1" xfId="0" applyNumberFormat="1" applyFont="1" applyFill="1" applyBorder="1" applyAlignment="1">
      <x:alignment horizontal="center" vertical="center" wrapText="1"/>
    </x:xf>
    <x:xf numFmtId="203" fontId="2" fillId="3" borderId="0" xfId="0" applyNumberFormat="1" applyFont="1" applyFill="1" applyBorder="1" applyAlignment="1">
      <x:alignment horizontal="center" vertical="center" wrapText="1"/>
    </x:xf>
    <x:xf numFmtId="203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865e22c804366" /><Relationship Type="http://schemas.openxmlformats.org/officeDocument/2006/relationships/theme" Target="/xl/theme/theme1.xml" Id="Rc98c01a801fe4200" /><Relationship Type="http://schemas.openxmlformats.org/officeDocument/2006/relationships/sharedStrings" Target="/xl/sharedStrings.xml" Id="R009be936ac5743c6" /><Relationship Type="http://schemas.openxmlformats.org/officeDocument/2006/relationships/worksheet" Target="/xl/worksheets/sheet1.xml" Id="R424097bcb81f48b4" /><Relationship Type="http://schemas.openxmlformats.org/officeDocument/2006/relationships/worksheet" Target="/xl/worksheets/sheet2.xml" Id="R537a841c98874e22" /><Relationship Type="http://schemas.openxmlformats.org/officeDocument/2006/relationships/worksheet" Target="/xl/worksheets/sheet3.xml" Id="Rd001af38b22b498a" /><Relationship Type="http://schemas.openxmlformats.org/officeDocument/2006/relationships/worksheet" Target="/xl/worksheets/sheet4.xml" Id="Raa5fa82703644563" /><Relationship Type="http://schemas.openxmlformats.org/officeDocument/2006/relationships/worksheet" Target="/xl/worksheets/sheet5.xml" Id="Ra7b5ccfd8d314881" /><Relationship Type="http://schemas.openxmlformats.org/officeDocument/2006/relationships/worksheet" Target="/xl/worksheets/sheet6.xml" Id="R891757458e0e46b9" /><Relationship Type="http://schemas.openxmlformats.org/officeDocument/2006/relationships/worksheet" Target="/xl/worksheets/sheet7.xml" Id="R1c9e5647d11b4c45" /><Relationship Type="http://schemas.openxmlformats.org/officeDocument/2006/relationships/worksheet" Target="/xl/worksheets/sheet8.xml" Id="Rad9e57986ef84bde" /><Relationship Type="http://schemas.openxmlformats.org/officeDocument/2006/relationships/worksheet" Target="/xl/worksheets/sheet9.xml" Id="Ra989e744db8942bf" /><Relationship Type="http://schemas.openxmlformats.org/officeDocument/2006/relationships/worksheet" Target="/xl/worksheets/sheet10.xml" Id="R14b562d8daf04be1" /><Relationship Type="http://schemas.openxmlformats.org/officeDocument/2006/relationships/worksheet" Target="/xl/worksheets/sheet11.xml" Id="R4a12bae9467f4d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0734604c8c4ec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Stressed ECL</c:v>
          </c:tx>
          <c:cat>
            <c:strRef>
              <c:f>'08_Dashboard'!$A$13:$A$15</c:f>
              <c:strCache>
                <c:ptCount val="0"/>
              </c:strCache>
            </c:strRef>
          </c:cat>
          <c:val>
            <c:numRef>
              <c:f>'08_Dashboard'!$D$13:$D$15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0734604c8c4e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croInputTable" displayName="MacroInputTable" ref="A3:H9" headerRowCount="1">
  <x:tableColumns count="8">
    <x:tableColumn id="1" name="year"/>
    <x:tableColumn id="2" name="gdp_growth_pct"/>
    <x:tableColumn id="3" name="inflation_pct"/>
    <x:tableColumn id="4" name="policy_rate_pct"/>
    <x:tableColumn id="5" name="usd_vnd"/>
    <x:tableColumn id="6" name="bond_yield_10y_pct"/>
    <x:tableColumn id="7" name="credit_growth_pct"/>
    <x:tableColumn id="8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LoanPortfolioTable" displayName="LoanPortfolioTable" ref="A1:T251" headerRowCount="1">
  <x:tableColumns count="20">
    <x:tableColumn id="1" name="loan_id"/>
    <x:tableColumn id="2" name="segment"/>
    <x:tableColumn id="3" name="industry"/>
    <x:tableColumn id="4" name="region"/>
    <x:tableColumn id="5" name="rating_grade"/>
    <x:tableColumn id="6" name="outstanding_balance_vnd"/>
    <x:tableColumn id="7" name="undrawn_commitment_vnd"/>
    <x:tableColumn id="8" name="collateral_type"/>
    <x:tableColumn id="9" name="ltv"/>
    <x:tableColumn id="10" name="dscr"/>
    <x:tableColumn id="11" name="leverage"/>
    <x:tableColumn id="12" name="dpd"/>
    <x:tableColumn id="13" name="rating_downgrade_notches"/>
    <x:tableColumn id="14" name="pd_12m"/>
    <x:tableColumn id="15" name="lgd"/>
    <x:tableColumn id="16" name="ead_vnd"/>
    <x:tableColumn id="17" name="ifrs9_stage"/>
    <x:tableColumn id="18" name="lifetime_pd"/>
    <x:tableColumn id="19" name="ecl_vnd"/>
    <x:tableColumn id="20" name="default_flag"/>
  </x:tableColumns>
  <x:tableStyleInfo name="TableStyleMedium2" showRowStripes="1"/>
</x:table>
</file>

<file path=xl/tables/table3.xml><?xml version="1.0" encoding="utf-8"?>
<x:table xmlns:x="http://schemas.openxmlformats.org/spreadsheetml/2006/main" id="3" name="IFRS9ECLTable" displayName="IFRS9ECLTable" ref="A1:I251" headerRowCount="1">
  <x:tableColumns count="9">
    <x:tableColumn id="1" name="loan_id"/>
    <x:tableColumn id="2" name="stage"/>
    <x:tableColumn id="3" name="pd_12m"/>
    <x:tableColumn id="4" name="lifetime_pd"/>
    <x:tableColumn id="5" name="lgd"/>
    <x:tableColumn id="6" name="ead_vnd"/>
    <x:tableColumn id="7" name="selected_pd"/>
    <x:tableColumn id="8" name="ecl_vnd"/>
    <x:tableColumn id="9" name="rule"/>
  </x:tableColumns>
  <x:tableStyleInfo name="TableStyleMedium2" showRowStripes="1"/>
</x:table>
</file>

<file path=xl/tables/table4.xml><?xml version="1.0" encoding="utf-8"?>
<x:table xmlns:x="http://schemas.openxmlformats.org/spreadsheetml/2006/main" id="4" name="EarlyWarningTable" displayName="EarlyWarningTable" ref="A3:G253" headerRowCount="1">
  <x:tableColumns count="7">
    <x:tableColumn id="1" name="loan_id"/>
    <x:tableColumn id="2" name="rating"/>
    <x:tableColumn id="3" name="dpd"/>
    <x:tableColumn id="4" name="dscr"/>
    <x:tableColumn id="5" name="leverage"/>
    <x:tableColumn id="6" name="early_warning_flag"/>
    <x:tableColumn id="7" name="key_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3cf171dd9449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1b931452d241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5730e14bcaa4d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8ab11954d8147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6e9d23bd8cd84357" /></Relationships>
</file>

<file path=xl/worksheets/sheet1.xml><?xml version="1.0" encoding="utf-8"?>
<x:worksheet xmlns:x="http://schemas.openxmlformats.org/spreadsheetml/2006/main">
  <x:sheetFormatPr defaultRowHeight="15"/>
  <x:cols>
    <x:col min="1" max="1" width="54.099998474121094" hidden="0" customWidth="1"/>
    <x:col min="2" max="2" width="147.3800048828125" hidden="0" customWidth="1"/>
  </x:cols>
  <x:sheetData>
    <x:row r="1">
      <x:c r="A1" s="60" t="str">
        <x:v>Techcombank Credit Risk Analytics Platform - Full v3</x:v>
      </x:c>
      <x:c r="B1" s="61"/>
    </x:row>
    <x:row r="3">
      <x:c r="A3" s="18" t="str">
        <x:v>Purpose</x:v>
      </x:c>
      <x:c r="B3" s="12" t="str">
        <x:v>Interview-grade credit risk analytics and modelling platform for Senior Expert, Credit Risk Analytics and Modelling roles.</x:v>
      </x:c>
    </x:row>
    <x:row r="4">
      <x:c r="A4" s="24" t="str">
        <x:v>Workflow</x:v>
      </x:c>
      <x:c r="B4" s="25" t="str">
        <x:v>Macro scenarios -&gt; Loan portfolio -&gt; PD/LGD/EAD -&gt; IFRS9 ECL -&gt; Stress testing -&gt; Early warning -&gt; Dashboard -&gt; Management actions.</x:v>
      </x:c>
    </x:row>
    <x:row r="5">
      <x:c r="A5" s="24" t="str">
        <x:v>Editable inputs</x:v>
      </x:c>
      <x:c r="B5" s="25" t="str">
        <x:v>Blue font and yellow-fill cells are user inputs. Percent variables are entered as normal numbers, e.g. 8.02 means 8.02%, not 0.0802.</x:v>
      </x:c>
    </x:row>
    <x:row r="6">
      <x:c r="A6" s="24" t="str">
        <x:v>Production note</x:v>
      </x:c>
      <x:c r="B6" s="25" t="str">
        <x:v>This is a synthetic demonstration model. Replace sample loan-level data with internal bank data before business use.</x:v>
      </x:c>
    </x:row>
    <x:row r="7">
      <x:c r="A7" s="24" t="str">
        <x:v>Package contents</x:v>
      </x:c>
      <x:c r="B7" s="25" t="str">
        <x:v>Excel model, CSV data, Python engines, SQL data mart, Streamlit app, Power BI specification, governance pack, interview guide.</x:v>
      </x:c>
    </x:row>
    <x:row r="8">
      <x:c r="A8" s="58" t="str">
        <x:v>Author</x:v>
      </x:c>
      <x:c r="B8" s="25" t="str">
        <x:v>Le Hoang Quan</x:v>
      </x:c>
    </x:row>
    <x:row r="9">
      <x:c r="A9" s="58" t="str">
        <x:v>User guidance</x:v>
      </x:c>
      <x:c r="B9" s="25" t="str">
        <x:v>Please click each numbered tab/sheet to review detailed modules: macro input, loan portfolio, PD model, IFRS9 ECL, stress testing, early warning, validation, dashboard and governance.</x:v>
      </x:c>
    </x:row>
    <x:row r="10">
      <x:c r="A10" s="58" t="str">
        <x:v>Mobile view</x:v>
      </x:c>
      <x:c r="B10" s="25" t="str">
        <x:v>For Streamlit demo, use the sidebar 'Viewing mode' and select 'Mobile friendly' to display compact KPI cards and simplified charts.</x:v>
      </x:c>
    </x:row>
    <x:row r="11">
      <x:c r="A11" s="58" t="str">
        <x:v>GitHub / Streamlit</x:v>
      </x:c>
      <x:c r="B11" s="25" t="str">
        <x:v>Deploy app.py on Streamlit Cloud. Keep Excel files in /excel and data files in /data.</x:v>
      </x:c>
    </x:row>
    <x:row r="12">
      <x:c r="A12" s="58" t="str">
        <x:v>Version</x:v>
      </x:c>
      <x:c r="B12" s="25" t="str">
        <x:v>Full v3.1 - author label, tab guidance and mobile-friendly Streamlit view added.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9" t="str">
        <x:v>Vietnam Macro Data Template - User Editable</x:v>
      </x:c>
    </x:row>
    <x:row r="3">
      <x:c r="A3" s="12" t="str">
        <x:v>year</x:v>
      </x:c>
      <x:c r="B3" s="12" t="str">
        <x:v>gdp_growth_pct</x:v>
      </x:c>
      <x:c r="C3" s="12" t="str">
        <x:v>inflation_pct</x:v>
      </x:c>
      <x:c r="D3" s="12" t="str">
        <x:v>policy_rate_pct</x:v>
      </x:c>
      <x:c r="E3" s="12" t="str">
        <x:v>usd_vnd</x:v>
      </x:c>
      <x:c r="F3" s="12" t="str">
        <x:v>bond_yield_10y_pct</x:v>
      </x:c>
      <x:c r="G3" s="12" t="str">
        <x:v>credit_growth_pct</x:v>
      </x:c>
      <x:c r="H3" s="12" t="str">
        <x:v>source</x:v>
      </x:c>
    </x:row>
    <x:row r="4">
      <x:c r="A4" s="32" t="n">
        <x:v>2020</x:v>
      </x:c>
      <x:c r="B4" s="34" t="n">
        <x:v>2.91</x:v>
      </x:c>
      <x:c r="C4" s="34" t="n">
        <x:v>3.23</x:v>
      </x:c>
      <x:c r="D4" s="34" t="n">
        <x:v>4</x:v>
      </x:c>
      <x:c r="E4" s="36" t="n">
        <x:v>23175</x:v>
      </x:c>
      <x:c r="F4" s="34" t="n">
        <x:v>3</x:v>
      </x:c>
      <x:c r="G4" s="34" t="n">
        <x:v>12.1</x:v>
      </x:c>
      <x:c r="H4" t="str">
        <x:v>World Bank / SBV public references</x:v>
      </x:c>
    </x:row>
    <x:row r="5">
      <x:c r="A5" s="32" t="n">
        <x:v>2021</x:v>
      </x:c>
      <x:c r="B5" s="34" t="n">
        <x:v>2.58</x:v>
      </x:c>
      <x:c r="C5" s="34" t="n">
        <x:v>1.84</x:v>
      </x:c>
      <x:c r="D5" s="34" t="n">
        <x:v>4</x:v>
      </x:c>
      <x:c r="E5" s="36" t="n">
        <x:v>22840</x:v>
      </x:c>
      <x:c r="F5" s="34" t="n">
        <x:v>2.1</x:v>
      </x:c>
      <x:c r="G5" s="34" t="n">
        <x:v>13.5</x:v>
      </x:c>
      <x:c r="H5" t="str">
        <x:v>World Bank / SBV public references</x:v>
      </x:c>
    </x:row>
    <x:row r="6">
      <x:c r="A6" s="32" t="n">
        <x:v>2022</x:v>
      </x:c>
      <x:c r="B6" s="34" t="n">
        <x:v>8.02</x:v>
      </x:c>
      <x:c r="C6" s="34" t="n">
        <x:v>3.15</x:v>
      </x:c>
      <x:c r="D6" s="34" t="n">
        <x:v>6</x:v>
      </x:c>
      <x:c r="E6" s="36" t="n">
        <x:v>23630</x:v>
      </x:c>
      <x:c r="F6" s="34" t="n">
        <x:v>4.8</x:v>
      </x:c>
      <x:c r="G6" s="34" t="n">
        <x:v>14.5</x:v>
      </x:c>
      <x:c r="H6" t="str">
        <x:v>World Bank / SBV public references</x:v>
      </x:c>
    </x:row>
    <x:row r="7">
      <x:c r="A7" s="32" t="n">
        <x:v>2023</x:v>
      </x:c>
      <x:c r="B7" s="34" t="n">
        <x:v>5.05</x:v>
      </x:c>
      <x:c r="C7" s="34" t="n">
        <x:v>3.25</x:v>
      </x:c>
      <x:c r="D7" s="34" t="n">
        <x:v>4.5</x:v>
      </x:c>
      <x:c r="E7" s="36" t="n">
        <x:v>24265</x:v>
      </x:c>
      <x:c r="F7" s="34" t="n">
        <x:v>2.9</x:v>
      </x:c>
      <x:c r="G7" s="34" t="n">
        <x:v>13.7</x:v>
      </x:c>
      <x:c r="H7" t="str">
        <x:v>World Bank / SBV public references</x:v>
      </x:c>
    </x:row>
    <x:row r="8">
      <x:c r="A8" s="32" t="n">
        <x:v>2024</x:v>
      </x:c>
      <x:c r="B8" s="34" t="n">
        <x:v>7.09</x:v>
      </x:c>
      <x:c r="C8" s="34" t="n">
        <x:v>3.63</x:v>
      </x:c>
      <x:c r="D8" s="34" t="n">
        <x:v>4.5</x:v>
      </x:c>
      <x:c r="E8" s="36" t="n">
        <x:v>25300</x:v>
      </x:c>
      <x:c r="F8" s="34" t="n">
        <x:v>2.8</x:v>
      </x:c>
      <x:c r="G8" s="34" t="n">
        <x:v>15.1</x:v>
      </x:c>
      <x:c r="H8" t="str">
        <x:v>Public macro references / illustrative</x:v>
      </x:c>
    </x:row>
    <x:row r="9">
      <x:c r="A9" s="32" t="n">
        <x:v>2025</x:v>
      </x:c>
      <x:c r="B9" s="34" t="n">
        <x:v>8.02</x:v>
      </x:c>
      <x:c r="C9" s="34" t="n">
        <x:v>3.5</x:v>
      </x:c>
      <x:c r="D9" s="34" t="n">
        <x:v>4.5</x:v>
      </x:c>
      <x:c r="E9" s="36" t="n">
        <x:v>25550</x:v>
      </x:c>
      <x:c r="F9" s="34" t="n">
        <x:v>2.9</x:v>
      </x:c>
      <x:c r="G9" s="34" t="n">
        <x:v>16</x:v>
      </x:c>
      <x:c r="H9" t="str">
        <x:v>Planning assumption / user editable</x:v>
      </x:c>
    </x:row>
    <x:row r="11">
      <x:c r="A11" s="39" t="str">
        <x:v>Base Case</x:v>
      </x:c>
      <x:c r="B11" s="25" t="str">
        <x:v>Normalised planning scenario</x:v>
      </x:c>
    </x:row>
    <x:row r="12">
      <x:c r="A12" s="39" t="str">
        <x:v>Mild Stress</x:v>
      </x:c>
      <x:c r="B12" s="25" t="str">
        <x:v>GDP -2.0pp; Policy rate +1.0pp; Property -5%; FX +4%</x:v>
      </x:c>
    </x:row>
    <x:row r="13">
      <x:c r="A13" s="39" t="str">
        <x:v>Severe Stress</x:v>
      </x:c>
      <x:c r="B13" s="25" t="str">
        <x:v>GDP -4.0pp; Policy rate +2.0pp; Property -15%; FX +8%</x:v>
      </x:c>
    </x:row>
    <x:row r="14">
      <x:c r="A14" s="39" t="str">
        <x:v>Note</x:v>
      </x:c>
      <x:c r="B14" s="25" t="str">
        <x:v>All % inputs are entered as ordinary numbers. Example: type 8.02, not 8.02%.</x:v>
      </x:c>
    </x:row>
    <x:row r="15">
      <x:c r="A15" s="39" t="str">
        <x:v>Source URLs</x:v>
      </x:c>
      <x:c r="B15" s="25" t="str">
        <x:v>https://data.worldbank.org/indicator/NY.GDP.MKTP.KD.ZG?locations=VN ; https://www.sbv.gov.vn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73cf171dd9449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12" t="str">
        <x:v>loan_id</x:v>
      </x:c>
      <x:c r="B1" s="12" t="str">
        <x:v>segment</x:v>
      </x:c>
      <x:c r="C1" s="12" t="str">
        <x:v>industry</x:v>
      </x:c>
      <x:c r="D1" s="12" t="str">
        <x:v>region</x:v>
      </x:c>
      <x:c r="E1" s="12" t="str">
        <x:v>rating_grade</x:v>
      </x:c>
      <x:c r="F1" s="42" t="str">
        <x:v>outstanding_balance_vnd</x:v>
      </x:c>
      <x:c r="G1" s="42" t="str">
        <x:v>undrawn_commitment_vnd</x:v>
      </x:c>
      <x:c r="H1" s="12" t="str">
        <x:v>collateral_type</x:v>
      </x:c>
      <x:c r="I1" s="12" t="str">
        <x:v>ltv</x:v>
      </x:c>
      <x:c r="J1" s="12" t="str">
        <x:v>dscr</x:v>
      </x:c>
      <x:c r="K1" s="12" t="str">
        <x:v>leverage</x:v>
      </x:c>
      <x:c r="L1" s="12" t="str">
        <x:v>dpd</x:v>
      </x:c>
      <x:c r="M1" s="12" t="str">
        <x:v>rating_downgrade_notches</x:v>
      </x:c>
      <x:c r="N1" s="44" t="str">
        <x:v>pd_12m</x:v>
      </x:c>
      <x:c r="O1" s="44" t="str">
        <x:v>lgd</x:v>
      </x:c>
      <x:c r="P1" s="42" t="str">
        <x:v>ead_vnd</x:v>
      </x:c>
      <x:c r="Q1" s="12" t="str">
        <x:v>ifrs9_stage</x:v>
      </x:c>
      <x:c r="R1" s="44" t="str">
        <x:v>lifetime_pd</x:v>
      </x:c>
      <x:c r="S1" s="42" t="str">
        <x:v>ecl_vnd</x:v>
      </x:c>
      <x:c r="T1" s="12" t="str">
        <x:v>default_flag</x:v>
      </x:c>
    </x:row>
    <x:row r="2">
      <x:c r="A2" t="str">
        <x:v>LN00001</x:v>
      </x:c>
      <x:c r="B2" t="str">
        <x:v>Retail Mortgage</x:v>
      </x:c>
      <x:c r="C2" t="str">
        <x:v>Real Estate</x:v>
      </x:c>
      <x:c r="D2" t="str">
        <x:v>Hai Phong</x:v>
      </x:c>
      <x:c r="E2" t="str">
        <x:v>BB</x:v>
      </x:c>
      <x:c r="F2" t="n">
        <x:v>916000000000</x:v>
      </x:c>
      <x:c r="G2" t="n">
        <x:v>57517534138</x:v>
      </x:c>
      <x:c r="H2" t="str">
        <x:v>Machinery</x:v>
      </x:c>
      <x:c r="I2" t="n">
        <x:v>1.1128</x:v>
      </x:c>
      <x:c r="J2" t="n">
        <x:v>2.343</x:v>
      </x:c>
      <x:c r="K2" t="n">
        <x:v>1.405</x:v>
      </x:c>
      <x:c r="L2" t="n">
        <x:v>0</x:v>
      </x:c>
      <x:c r="M2" t="n">
        <x:v>0</x:v>
      </x:c>
      <x:c r="N2" t="n">
        <x:v>0.055</x:v>
      </x:c>
      <x:c r="O2" t="n">
        <x:v>0.639471</x:v>
      </x:c>
      <x:c r="P2" t="n">
        <x:v>959138150603</x:v>
      </x:c>
      <x:c r="Q2" t="n">
        <x:v>1</x:v>
      </x:c>
      <x:c r="R2" t="n">
        <x:v>0.0825</x:v>
      </x:c>
      <x:c r="S2" t="n">
        <x:v>33733763297</x:v>
      </x:c>
      <x:c r="T2" t="n">
        <x:v>0</x:v>
      </x:c>
    </x:row>
    <x:row r="3">
      <x:c r="A3" t="str">
        <x:v>LN00002</x:v>
      </x:c>
      <x:c r="B3" t="str">
        <x:v>Large Corporate</x:v>
      </x:c>
      <x:c r="C3" t="str">
        <x:v>Healthcare</x:v>
      </x:c>
      <x:c r="D3" t="str">
        <x:v>Da Nang</x:v>
      </x:c>
      <x:c r="E3" t="str">
        <x:v>BBB</x:v>
      </x:c>
      <x:c r="F3" t="n">
        <x:v>655000000000</x:v>
      </x:c>
      <x:c r="G3" t="n">
        <x:v>205776586672</x:v>
      </x:c>
      <x:c r="H3" t="str">
        <x:v>Real Estate</x:v>
      </x:c>
      <x:c r="I3" t="n">
        <x:v>0.6676</x:v>
      </x:c>
      <x:c r="J3" t="n">
        <x:v>1.628</x:v>
      </x:c>
      <x:c r="K3" t="n">
        <x:v>3.887</x:v>
      </x:c>
      <x:c r="L3" t="n">
        <x:v>0</x:v>
      </x:c>
      <x:c r="M3" t="n">
        <x:v>0</x:v>
      </x:c>
      <x:c r="N3" t="n">
        <x:v>0.02766</x:v>
      </x:c>
      <x:c r="O3" t="n">
        <x:v>0.48366</x:v>
      </x:c>
      <x:c r="P3" t="n">
        <x:v>737310634668</x:v>
      </x:c>
      <x:c r="Q3" t="n">
        <x:v>1</x:v>
      </x:c>
      <x:c r="R3" t="n">
        <x:v>0.041489</x:v>
      </x:c>
      <x:c r="S3" t="n">
        <x:v>9863587556</x:v>
      </x:c>
      <x:c r="T3" t="n">
        <x:v>0</x:v>
      </x:c>
    </x:row>
    <x:row r="4">
      <x:c r="A4" t="str">
        <x:v>LN00003</x:v>
      </x:c>
      <x:c r="B4" t="str">
        <x:v>SME</x:v>
      </x:c>
      <x:c r="C4" t="str">
        <x:v>Technology</x:v>
      </x:c>
      <x:c r="D4" t="str">
        <x:v>Can Tho</x:v>
      </x:c>
      <x:c r="E4" t="str">
        <x:v>B</x:v>
      </x:c>
      <x:c r="F4" t="n">
        <x:v>324000000000</x:v>
      </x:c>
      <x:c r="G4" t="n">
        <x:v>80487524039</x:v>
      </x:c>
      <x:c r="H4" t="str">
        <x:v>Receivables</x:v>
      </x:c>
      <x:c r="I4" t="n">
        <x:v>0.9829</x:v>
      </x:c>
      <x:c r="J4" t="n">
        <x:v>1.13</x:v>
      </x:c>
      <x:c r="K4" t="n">
        <x:v>4.386</x:v>
      </x:c>
      <x:c r="L4" t="n">
        <x:v>0</x:v>
      </x:c>
      <x:c r="M4" t="n">
        <x:v>0</x:v>
      </x:c>
      <x:c r="N4" t="n">
        <x:v>0.14673</x:v>
      </x:c>
      <x:c r="O4" t="n">
        <x:v>0.593999</x:v>
      </x:c>
      <x:c r="P4" t="n">
        <x:v>356195009615</x:v>
      </x:c>
      <x:c r="Q4" t="n">
        <x:v>1</x:v>
      </x:c>
      <x:c r="R4" t="n">
        <x:v>0.220095</x:v>
      </x:c>
      <x:c r="S4" t="n">
        <x:v>31045026780</x:v>
      </x:c>
      <x:c r="T4" t="n">
        <x:v>0</x:v>
      </x:c>
    </x:row>
    <x:row r="5">
      <x:c r="A5" t="str">
        <x:v>LN00004</x:v>
      </x:c>
      <x:c r="B5" t="str">
        <x:v>SME</x:v>
      </x:c>
      <x:c r="C5" t="str">
        <x:v>F&amp;B</x:v>
      </x:c>
      <x:c r="D5" t="str">
        <x:v>Hai Phong</x:v>
      </x:c>
      <x:c r="E5" t="str">
        <x:v>A</x:v>
      </x:c>
      <x:c r="F5" t="n">
        <x:v>668000000000</x:v>
      </x:c>
      <x:c r="G5" t="n">
        <x:v>111276398715</x:v>
      </x:c>
      <x:c r="H5" t="str">
        <x:v>Inventory</x:v>
      </x:c>
      <x:c r="I5" t="n">
        <x:v>0.7912</x:v>
      </x:c>
      <x:c r="J5" t="n">
        <x:v>1.909</x:v>
      </x:c>
      <x:c r="K5" t="n">
        <x:v>4.268</x:v>
      </x:c>
      <x:c r="L5" t="n">
        <x:v>0</x:v>
      </x:c>
      <x:c r="M5" t="n">
        <x:v>0</x:v>
      </x:c>
      <x:c r="N5" t="n">
        <x:v>0.013826</x:v>
      </x:c>
      <x:c r="O5" t="n">
        <x:v>0.526927</x:v>
      </x:c>
      <x:c r="P5" t="n">
        <x:v>712510559486</x:v>
      </x:c>
      <x:c r="Q5" t="n">
        <x:v>1</x:v>
      </x:c>
      <x:c r="R5" t="n">
        <x:v>0.020739</x:v>
      </x:c>
      <x:c r="S5" t="n">
        <x:v>5190748109</x:v>
      </x:c>
      <x:c r="T5" t="n">
        <x:v>0</x:v>
      </x:c>
    </x:row>
    <x:row r="6">
      <x:c r="A6" t="str">
        <x:v>LN00005</x:v>
      </x:c>
      <x:c r="B6" t="str">
        <x:v>Large Corporate</x:v>
      </x:c>
      <x:c r="C6" t="str">
        <x:v>Agriculture</x:v>
      </x:c>
      <x:c r="D6" t="str">
        <x:v>HCMC</x:v>
      </x:c>
      <x:c r="E6" t="str">
        <x:v>BBB</x:v>
      </x:c>
      <x:c r="F6" t="n">
        <x:v>231000000000</x:v>
      </x:c>
      <x:c r="G6" t="n">
        <x:v>23809547080</x:v>
      </x:c>
      <x:c r="H6" t="str">
        <x:v>Inventory</x:v>
      </x:c>
      <x:c r="I6" t="n">
        <x:v>1.0206</x:v>
      </x:c>
      <x:c r="J6" t="n">
        <x:v>1.896</x:v>
      </x:c>
      <x:c r="K6" t="n">
        <x:v>3.093</x:v>
      </x:c>
      <x:c r="L6" t="n">
        <x:v>0</x:v>
      </x:c>
      <x:c r="M6" t="n">
        <x:v>0</x:v>
      </x:c>
      <x:c r="N6" t="n">
        <x:v>0.025278</x:v>
      </x:c>
      <x:c r="O6" t="n">
        <x:v>0.607209</x:v>
      </x:c>
      <x:c r="P6" t="n">
        <x:v>240523818832</x:v>
      </x:c>
      <x:c r="Q6" t="n">
        <x:v>1</x:v>
      </x:c>
      <x:c r="R6" t="n">
        <x:v>0.037918</x:v>
      </x:c>
      <x:c r="S6" t="n">
        <x:v>3691858463</x:v>
      </x:c>
      <x:c r="T6" t="n">
        <x:v>0</x:v>
      </x:c>
    </x:row>
    <x:row r="7">
      <x:c r="A7" t="str">
        <x:v>LN00006</x:v>
      </x:c>
      <x:c r="B7" t="str">
        <x:v>Retail Mortgage</x:v>
      </x:c>
      <x:c r="C7" t="str">
        <x:v>Retail</x:v>
      </x:c>
      <x:c r="D7" t="str">
        <x:v>HCMC</x:v>
      </x:c>
      <x:c r="E7" t="str">
        <x:v>BBB</x:v>
      </x:c>
      <x:c r="F7" t="n">
        <x:v>1078000000000</x:v>
      </x:c>
      <x:c r="G7" t="n">
        <x:v>362376400032</x:v>
      </x:c>
      <x:c r="H7" t="str">
        <x:v>Cash</x:v>
      </x:c>
      <x:c r="I7" t="n">
        <x:v>0.7064</x:v>
      </x:c>
      <x:c r="J7" t="n">
        <x:v>1.144</x:v>
      </x:c>
      <x:c r="K7" t="n">
        <x:v>4.005</x:v>
      </x:c>
      <x:c r="L7" t="n">
        <x:v>0</x:v>
      </x:c>
      <x:c r="M7" t="n">
        <x:v>0</x:v>
      </x:c>
      <x:c r="N7" t="n">
        <x:v>0.029129</x:v>
      </x:c>
      <x:c r="O7" t="n">
        <x:v>0.347252</x:v>
      </x:c>
      <x:c r="P7" t="n">
        <x:v>1349782300024</x:v>
      </x:c>
      <x:c r="Q7" t="n">
        <x:v>1</x:v>
      </x:c>
      <x:c r="R7" t="n">
        <x:v>0.043693</x:v>
      </x:c>
      <x:c r="S7" t="n">
        <x:v>13652958551</x:v>
      </x:c>
      <x:c r="T7" t="n">
        <x:v>0</x:v>
      </x:c>
    </x:row>
    <x:row r="8">
      <x:c r="A8" t="str">
        <x:v>LN00007</x:v>
      </x:c>
      <x:c r="B8" t="str">
        <x:v>SME</x:v>
      </x:c>
      <x:c r="C8" t="str">
        <x:v>Energy</x:v>
      </x:c>
      <x:c r="D8" t="str">
        <x:v>Hanoi</x:v>
      </x:c>
      <x:c r="E8" t="str">
        <x:v>BB</x:v>
      </x:c>
      <x:c r="F8" t="n">
        <x:v>1565000000000</x:v>
      </x:c>
      <x:c r="G8" t="n">
        <x:v>419654425673</x:v>
      </x:c>
      <x:c r="H8" t="str">
        <x:v>Receivables</x:v>
      </x:c>
      <x:c r="I8" t="n">
        <x:v>0.7009</x:v>
      </x:c>
      <x:c r="J8" t="n">
        <x:v>1.883</x:v>
      </x:c>
      <x:c r="K8" t="n">
        <x:v>0.2</x:v>
      </x:c>
      <x:c r="L8" t="n">
        <x:v>35</x:v>
      </x:c>
      <x:c r="M8" t="n">
        <x:v>1</x:v>
      </x:c>
      <x:c r="N8" t="n">
        <x:v>0.100833</x:v>
      </x:c>
      <x:c r="O8" t="n">
        <x:v>0.495299</x:v>
      </x:c>
      <x:c r="P8" t="n">
        <x:v>1732861770269</x:v>
      </x:c>
      <x:c r="Q8" t="n">
        <x:v>2</x:v>
      </x:c>
      <x:c r="R8" t="n">
        <x:v>0.3025</x:v>
      </x:c>
      <x:c r="S8" t="n">
        <x:v>259631118105</x:v>
      </x:c>
      <x:c r="T8" t="n">
        <x:v>0</x:v>
      </x:c>
    </x:row>
    <x:row r="9">
      <x:c r="A9" t="str">
        <x:v>LN00008</x:v>
      </x:c>
      <x:c r="B9" t="str">
        <x:v>SME</x:v>
      </x:c>
      <x:c r="C9" t="str">
        <x:v>Manufacturing</x:v>
      </x:c>
      <x:c r="D9" t="str">
        <x:v>Da Nang</x:v>
      </x:c>
      <x:c r="E9" t="str">
        <x:v>BBB</x:v>
      </x:c>
      <x:c r="F9" t="n">
        <x:v>2949000000000</x:v>
      </x:c>
      <x:c r="G9" t="n">
        <x:v>349530439799</x:v>
      </x:c>
      <x:c r="H9" t="str">
        <x:v>Unsecured</x:v>
      </x:c>
      <x:c r="I9" t="n">
        <x:v>0.7607</x:v>
      </x:c>
      <x:c r="J9" t="n">
        <x:v>1.455</x:v>
      </x:c>
      <x:c r="K9" t="n">
        <x:v>3.197</x:v>
      </x:c>
      <x:c r="L9" t="n">
        <x:v>0</x:v>
      </x:c>
      <x:c r="M9" t="n">
        <x:v>0</x:v>
      </x:c>
      <x:c r="N9" t="n">
        <x:v>0.02559</x:v>
      </x:c>
      <x:c r="O9" t="n">
        <x:v>0.716231</x:v>
      </x:c>
      <x:c r="P9" t="n">
        <x:v>3088812175919</x:v>
      </x:c>
      <x:c r="Q9" t="n">
        <x:v>1</x:v>
      </x:c>
      <x:c r="R9" t="n">
        <x:v>0.038385</x:v>
      </x:c>
      <x:c r="S9" t="n">
        <x:v>56613467813</x:v>
      </x:c>
      <x:c r="T9" t="n">
        <x:v>0</x:v>
      </x:c>
    </x:row>
    <x:row r="10">
      <x:c r="A10" t="str">
        <x:v>LN00009</x:v>
      </x:c>
      <x:c r="B10" t="str">
        <x:v>Consumer Finance</x:v>
      </x:c>
      <x:c r="C10" t="str">
        <x:v>Agriculture</x:v>
      </x:c>
      <x:c r="D10" t="str">
        <x:v>Can Tho</x:v>
      </x:c>
      <x:c r="E10" t="str">
        <x:v>B</x:v>
      </x:c>
      <x:c r="F10" t="n">
        <x:v>4000000000</x:v>
      </x:c>
      <x:c r="G10" t="n">
        <x:v>1078100252</x:v>
      </x:c>
      <x:c r="H10" t="str">
        <x:v>Cash</x:v>
      </x:c>
      <x:c r="I10" t="n">
        <x:v>0.7528</x:v>
      </x:c>
      <x:c r="J10" t="n">
        <x:v>1.819</x:v>
      </x:c>
      <x:c r="K10" t="n">
        <x:v>0.549</x:v>
      </x:c>
      <x:c r="L10" t="n">
        <x:v>0</x:v>
      </x:c>
      <x:c r="M10" t="n">
        <x:v>0</x:v>
      </x:c>
      <x:c r="N10" t="n">
        <x:v>0.12</x:v>
      </x:c>
      <x:c r="O10" t="n">
        <x:v>0.36349</x:v>
      </x:c>
      <x:c r="P10" t="n">
        <x:v>4808575189</x:v>
      </x:c>
      <x:c r="Q10" t="n">
        <x:v>1</x:v>
      </x:c>
      <x:c r="R10" t="n">
        <x:v>0.18</x:v>
      </x:c>
      <x:c r="S10" t="n">
        <x:v>209744363</x:v>
      </x:c>
      <x:c r="T10" t="n">
        <x:v>0</x:v>
      </x:c>
    </x:row>
    <x:row r="11">
      <x:c r="A11" t="str">
        <x:v>LN00010</x:v>
      </x:c>
      <x:c r="B11" t="str">
        <x:v>Retail Mortgage</x:v>
      </x:c>
      <x:c r="C11" t="str">
        <x:v>Agriculture</x:v>
      </x:c>
      <x:c r="D11" t="str">
        <x:v>Dong Nai</x:v>
      </x:c>
      <x:c r="E11" t="str">
        <x:v>AA</x:v>
      </x:c>
      <x:c r="F11" t="n">
        <x:v>2704000000000</x:v>
      </x:c>
      <x:c r="G11" t="n">
        <x:v>578323597670</x:v>
      </x:c>
      <x:c r="H11" t="str">
        <x:v>Machinery</x:v>
      </x:c>
      <x:c r="I11" t="n">
        <x:v>0.7113</x:v>
      </x:c>
      <x:c r="J11" t="n">
        <x:v>1.389</x:v>
      </x:c>
      <x:c r="K11" t="n">
        <x:v>2.862</x:v>
      </x:c>
      <x:c r="L11" t="n">
        <x:v>0</x:v>
      </x:c>
      <x:c r="M11" t="n">
        <x:v>0</x:v>
      </x:c>
      <x:c r="N11" t="n">
        <x:v>0.005</x:v>
      </x:c>
      <x:c r="O11" t="n">
        <x:v>0.498968</x:v>
      </x:c>
      <x:c r="P11" t="n">
        <x:v>3137742698252</x:v>
      </x:c>
      <x:c r="Q11" t="n">
        <x:v>1</x:v>
      </x:c>
      <x:c r="R11" t="n">
        <x:v>0.0075</x:v>
      </x:c>
      <x:c r="S11" t="n">
        <x:v>7828173488</x:v>
      </x:c>
      <x:c r="T11" t="n">
        <x:v>0</x:v>
      </x:c>
    </x:row>
    <x:row r="12">
      <x:c r="A12" t="str">
        <x:v>LN00011</x:v>
      </x:c>
      <x:c r="B12" t="str">
        <x:v>SME</x:v>
      </x:c>
      <x:c r="C12" t="str">
        <x:v>Transport</x:v>
      </x:c>
      <x:c r="D12" t="str">
        <x:v>Hanoi</x:v>
      </x:c>
      <x:c r="E12" t="str">
        <x:v>BBB</x:v>
      </x:c>
      <x:c r="F12" t="n">
        <x:v>1851000000000</x:v>
      </x:c>
      <x:c r="G12" t="n">
        <x:v>100790444948</x:v>
      </x:c>
      <x:c r="H12" t="str">
        <x:v>Cash</x:v>
      </x:c>
      <x:c r="I12" t="n">
        <x:v>0.8788</x:v>
      </x:c>
      <x:c r="J12" t="n">
        <x:v>2.293</x:v>
      </x:c>
      <x:c r="K12" t="n">
        <x:v>2.339</x:v>
      </x:c>
      <x:c r="L12" t="n">
        <x:v>5</x:v>
      </x:c>
      <x:c r="M12" t="n">
        <x:v>0</x:v>
      </x:c>
      <x:c r="N12" t="n">
        <x:v>0.027083</x:v>
      </x:c>
      <x:c r="O12" t="n">
        <x:v>0.407567</x:v>
      </x:c>
      <x:c r="P12" t="n">
        <x:v>1891316177979</x:v>
      </x:c>
      <x:c r="Q12" t="n">
        <x:v>1</x:v>
      </x:c>
      <x:c r="R12" t="n">
        <x:v>0.040625</x:v>
      </x:c>
      <x:c r="S12" t="n">
        <x:v>20876867296</x:v>
      </x:c>
      <x:c r="T12" t="n">
        <x:v>0</x:v>
      </x:c>
    </x:row>
    <x:row r="13">
      <x:c r="A13" t="str">
        <x:v>LN00012</x:v>
      </x:c>
      <x:c r="B13" t="str">
        <x:v>SME</x:v>
      </x:c>
      <x:c r="C13" t="str">
        <x:v>F&amp;B</x:v>
      </x:c>
      <x:c r="D13" t="str">
        <x:v>Da Nang</x:v>
      </x:c>
      <x:c r="E13" t="str">
        <x:v>BB</x:v>
      </x:c>
      <x:c r="F13" t="n">
        <x:v>2210000000000</x:v>
      </x:c>
      <x:c r="G13" t="n">
        <x:v>131584133557</x:v>
      </x:c>
      <x:c r="H13" t="str">
        <x:v>Machinery</x:v>
      </x:c>
      <x:c r="I13" t="n">
        <x:v>0.9254</x:v>
      </x:c>
      <x:c r="J13" t="n">
        <x:v>2.458</x:v>
      </x:c>
      <x:c r="K13" t="n">
        <x:v>2.482</x:v>
      </x:c>
      <x:c r="L13" t="n">
        <x:v>15</x:v>
      </x:c>
      <x:c r="M13" t="n">
        <x:v>0</x:v>
      </x:c>
      <x:c r="N13" t="n">
        <x:v>0.06875</x:v>
      </x:c>
      <x:c r="O13" t="n">
        <x:v>0.573895</x:v>
      </x:c>
      <x:c r="P13" t="n">
        <x:v>2262633653422</x:v>
      </x:c>
      <x:c r="Q13" t="n">
        <x:v>1</x:v>
      </x:c>
      <x:c r="R13" t="n">
        <x:v>0.103125</x:v>
      </x:c>
      <x:c r="S13" t="n">
        <x:v>89272817336</x:v>
      </x:c>
      <x:c r="T13" t="n">
        <x:v>0</x:v>
      </x:c>
    </x:row>
    <x:row r="14">
      <x:c r="A14" t="str">
        <x:v>LN00013</x:v>
      </x:c>
      <x:c r="B14" t="str">
        <x:v>Retail Mortgage</x:v>
      </x:c>
      <x:c r="C14" t="str">
        <x:v>Technology</x:v>
      </x:c>
      <x:c r="D14" t="str">
        <x:v>HCMC</x:v>
      </x:c>
      <x:c r="E14" t="str">
        <x:v>BBB</x:v>
      </x:c>
      <x:c r="F14" t="n">
        <x:v>2760000000000</x:v>
      </x:c>
      <x:c r="G14" t="n">
        <x:v>811591716426</x:v>
      </x:c>
      <x:c r="H14" t="str">
        <x:v>Real Estate</x:v>
      </x:c>
      <x:c r="I14" t="n">
        <x:v>0.6071</x:v>
      </x:c>
      <x:c r="J14" t="n">
        <x:v>1.645</x:v>
      </x:c>
      <x:c r="K14" t="n">
        <x:v>2.857</x:v>
      </x:c>
      <x:c r="L14" t="n">
        <x:v>0</x:v>
      </x:c>
      <x:c r="M14" t="n">
        <x:v>0</x:v>
      </x:c>
      <x:c r="N14" t="n">
        <x:v>0.025</x:v>
      </x:c>
      <x:c r="O14" t="n">
        <x:v>0.462473</x:v>
      </x:c>
      <x:c r="P14" t="n">
        <x:v>3368693787319</x:v>
      </x:c>
      <x:c r="Q14" t="n">
        <x:v>1</x:v>
      </x:c>
      <x:c r="R14" t="n">
        <x:v>0.0375</x:v>
      </x:c>
      <x:c r="S14" t="n">
        <x:v>38948281998</x:v>
      </x:c>
      <x:c r="T14" t="n">
        <x:v>0</x:v>
      </x:c>
    </x:row>
    <x:row r="15">
      <x:c r="A15" t="str">
        <x:v>LN00014</x:v>
      </x:c>
      <x:c r="B15" t="str">
        <x:v>SME</x:v>
      </x:c>
      <x:c r="C15" t="str">
        <x:v>Construction</x:v>
      </x:c>
      <x:c r="D15" t="str">
        <x:v>Can Tho</x:v>
      </x:c>
      <x:c r="E15" t="str">
        <x:v>B</x:v>
      </x:c>
      <x:c r="F15" t="n">
        <x:v>403000000000</x:v>
      </x:c>
      <x:c r="G15" t="n">
        <x:v>9174193559</x:v>
      </x:c>
      <x:c r="H15" t="str">
        <x:v>Cash</x:v>
      </x:c>
      <x:c r="I15" t="n">
        <x:v>0.9327</x:v>
      </x:c>
      <x:c r="J15" t="n">
        <x:v>2.846</x:v>
      </x:c>
      <x:c r="K15" t="n">
        <x:v>3.188</x:v>
      </x:c>
      <x:c r="L15" t="n">
        <x:v>35</x:v>
      </x:c>
      <x:c r="M15" t="n">
        <x:v>0</x:v>
      </x:c>
      <x:c r="N15" t="n">
        <x:v>0.192707</x:v>
      </x:c>
      <x:c r="O15" t="n">
        <x:v>0.426439</x:v>
      </x:c>
      <x:c r="P15" t="n">
        <x:v>406669677423</x:v>
      </x:c>
      <x:c r="Q15" t="n">
        <x:v>2</x:v>
      </x:c>
      <x:c r="R15" t="n">
        <x:v>0.578121</x:v>
      </x:c>
      <x:c r="S15" t="n">
        <x:v>100257798276</x:v>
      </x:c>
      <x:c r="T15" t="n">
        <x:v>0</x:v>
      </x:c>
    </x:row>
    <x:row r="16">
      <x:c r="A16" t="str">
        <x:v>LN00015</x:v>
      </x:c>
      <x:c r="B16" t="str">
        <x:v>Large Corporate</x:v>
      </x:c>
      <x:c r="C16" t="str">
        <x:v>Real Estate</x:v>
      </x:c>
      <x:c r="D16" t="str">
        <x:v>Binh Duong</x:v>
      </x:c>
      <x:c r="E16" t="str">
        <x:v>BBB</x:v>
      </x:c>
      <x:c r="F16" t="n">
        <x:v>1601000000000</x:v>
      </x:c>
      <x:c r="G16" t="n">
        <x:v>191065543260</x:v>
      </x:c>
      <x:c r="H16" t="str">
        <x:v>Real Estate</x:v>
      </x:c>
      <x:c r="I16" t="n">
        <x:v>0.6968</x:v>
      </x:c>
      <x:c r="J16" t="n">
        <x:v>1.208</x:v>
      </x:c>
      <x:c r="K16" t="n">
        <x:v>0.2</x:v>
      </x:c>
      <x:c r="L16" t="n">
        <x:v>5</x:v>
      </x:c>
      <x:c r="M16" t="n">
        <x:v>0</x:v>
      </x:c>
      <x:c r="N16" t="n">
        <x:v>0.027083</x:v>
      </x:c>
      <x:c r="O16" t="n">
        <x:v>0.493885</x:v>
      </x:c>
      <x:c r="P16" t="n">
        <x:v>1677426217304</x:v>
      </x:c>
      <x:c r="Q16" t="n">
        <x:v>1</x:v>
      </x:c>
      <x:c r="R16" t="n">
        <x:v>0.040625</x:v>
      </x:c>
      <x:c r="S16" t="n">
        <x:v>22437328542</x:v>
      </x:c>
      <x:c r="T16" t="n">
        <x:v>0</x:v>
      </x:c>
    </x:row>
    <x:row r="17">
      <x:c r="A17" t="str">
        <x:v>LN00016</x:v>
      </x:c>
      <x:c r="B17" t="str">
        <x:v>Retail Mortgage</x:v>
      </x:c>
      <x:c r="C17" t="str">
        <x:v>Real Estate</x:v>
      </x:c>
      <x:c r="D17" t="str">
        <x:v>Hai Phong</x:v>
      </x:c>
      <x:c r="E17" t="str">
        <x:v>BB</x:v>
      </x:c>
      <x:c r="F17" t="n">
        <x:v>207000000000</x:v>
      </x:c>
      <x:c r="G17" t="n">
        <x:v>54416142923</x:v>
      </x:c>
      <x:c r="H17" t="str">
        <x:v>Real Estate</x:v>
      </x:c>
      <x:c r="I17" t="n">
        <x:v>0.6427</x:v>
      </x:c>
      <x:c r="J17" t="n">
        <x:v>0.724</x:v>
      </x:c>
      <x:c r="K17" t="n">
        <x:v>3.151</x:v>
      </x:c>
      <x:c r="L17" t="n">
        <x:v>0</x:v>
      </x:c>
      <x:c r="M17" t="n">
        <x:v>0</x:v>
      </x:c>
      <x:c r="N17" t="n">
        <x:v>0.076954</x:v>
      </x:c>
      <x:c r="O17" t="n">
        <x:v>0.474936</x:v>
      </x:c>
      <x:c r="P17" t="n">
        <x:v>247812107192</x:v>
      </x:c>
      <x:c r="Q17" t="n">
        <x:v>1</x:v>
      </x:c>
      <x:c r="R17" t="n">
        <x:v>0.115431</x:v>
      </x:c>
      <x:c r="S17" t="n">
        <x:v>9057092553</x:v>
      </x:c>
      <x:c r="T17" t="n">
        <x:v>0</x:v>
      </x:c>
    </x:row>
    <x:row r="18">
      <x:c r="A18" t="str">
        <x:v>LN00017</x:v>
      </x:c>
      <x:c r="B18" t="str">
        <x:v>Large Corporate</x:v>
      </x:c>
      <x:c r="C18" t="str">
        <x:v>Healthcare</x:v>
      </x:c>
      <x:c r="D18" t="str">
        <x:v>Hai Phong</x:v>
      </x:c>
      <x:c r="E18" t="str">
        <x:v>A</x:v>
      </x:c>
      <x:c r="F18" t="n">
        <x:v>164000000000</x:v>
      </x:c>
      <x:c r="G18" t="n">
        <x:v>45710355462</x:v>
      </x:c>
      <x:c r="H18" t="str">
        <x:v>Cash</x:v>
      </x:c>
      <x:c r="I18" t="n">
        <x:v>0.6186</x:v>
      </x:c>
      <x:c r="J18" t="n">
        <x:v>2.154</x:v>
      </x:c>
      <x:c r="K18" t="n">
        <x:v>0.2</x:v>
      </x:c>
      <x:c r="L18" t="n">
        <x:v>0</x:v>
      </x:c>
      <x:c r="M18" t="n">
        <x:v>0</x:v>
      </x:c>
      <x:c r="N18" t="n">
        <x:v>0.012</x:v>
      </x:c>
      <x:c r="O18" t="n">
        <x:v>0.316512</x:v>
      </x:c>
      <x:c r="P18" t="n">
        <x:v>182284142184</x:v>
      </x:c>
      <x:c r="Q18" t="n">
        <x:v>1</x:v>
      </x:c>
      <x:c r="R18" t="n">
        <x:v>0.018</x:v>
      </x:c>
      <x:c r="S18" t="n">
        <x:v>692340966</x:v>
      </x:c>
      <x:c r="T18" t="n">
        <x:v>0</x:v>
      </x:c>
    </x:row>
    <x:row r="19">
      <x:c r="A19" t="str">
        <x:v>LN00018</x:v>
      </x:c>
      <x:c r="B19" t="str">
        <x:v>Large Corporate</x:v>
      </x:c>
      <x:c r="C19" t="str">
        <x:v>Construction</x:v>
      </x:c>
      <x:c r="D19" t="str">
        <x:v>Hai Phong</x:v>
      </x:c>
      <x:c r="E19" t="str">
        <x:v>BBB</x:v>
      </x:c>
      <x:c r="F19" t="n">
        <x:v>2308000000000</x:v>
      </x:c>
      <x:c r="G19" t="n">
        <x:v>1034545770742</x:v>
      </x:c>
      <x:c r="H19" t="str">
        <x:v>Cash</x:v>
      </x:c>
      <x:c r="I19" t="n">
        <x:v>1.1544</x:v>
      </x:c>
      <x:c r="J19" t="n">
        <x:v>2.141</x:v>
      </x:c>
      <x:c r="K19" t="n">
        <x:v>3.631</x:v>
      </x:c>
      <x:c r="L19" t="n">
        <x:v>35</x:v>
      </x:c>
      <x:c r="M19" t="n">
        <x:v>1</x:v>
      </x:c>
      <x:c r="N19" t="n">
        <x:v>0.047725</x:v>
      </x:c>
      <x:c r="O19" t="n">
        <x:v>0.504041</x:v>
      </x:c>
      <x:c r="P19" t="n">
        <x:v>2721818308296</x:v>
      </x:c>
      <x:c r="Q19" t="n">
        <x:v>2</x:v>
      </x:c>
      <x:c r="R19" t="n">
        <x:v>0.143176</x:v>
      </x:c>
      <x:c r="S19" t="n">
        <x:v>196423785083</x:v>
      </x:c>
      <x:c r="T19" t="n">
        <x:v>0</x:v>
      </x:c>
    </x:row>
    <x:row r="20">
      <x:c r="A20" t="str">
        <x:v>LN00019</x:v>
      </x:c>
      <x:c r="B20" t="str">
        <x:v>SME</x:v>
      </x:c>
      <x:c r="C20" t="str">
        <x:v>F&amp;B</x:v>
      </x:c>
      <x:c r="D20" t="str">
        <x:v>HCMC</x:v>
      </x:c>
      <x:c r="E20" t="str">
        <x:v>B</x:v>
      </x:c>
      <x:c r="F20" t="n">
        <x:v>2168000000000</x:v>
      </x:c>
      <x:c r="G20" t="n">
        <x:v>7632223337</x:v>
      </x:c>
      <x:c r="H20" t="str">
        <x:v>Unsecured</x:v>
      </x:c>
      <x:c r="I20" t="n">
        <x:v>0.919</x:v>
      </x:c>
      <x:c r="J20" t="n">
        <x:v>1.377</x:v>
      </x:c>
      <x:c r="K20" t="n">
        <x:v>1.486</x:v>
      </x:c>
      <x:c r="L20" t="n">
        <x:v>0</x:v>
      </x:c>
      <x:c r="M20" t="n">
        <x:v>0</x:v>
      </x:c>
      <x:c r="N20" t="n">
        <x:v>0.12</x:v>
      </x:c>
      <x:c r="O20" t="n">
        <x:v>0.771665</x:v>
      </x:c>
      <x:c r="P20" t="n">
        <x:v>2171052889334</x:v>
      </x:c>
      <x:c r="Q20" t="n">
        <x:v>1</x:v>
      </x:c>
      <x:c r="R20" t="n">
        <x:v>0.18</x:v>
      </x:c>
      <x:c r="S20" t="n">
        <x:v>201039156174</x:v>
      </x:c>
      <x:c r="T20" t="n">
        <x:v>0</x:v>
      </x:c>
    </x:row>
    <x:row r="21">
      <x:c r="A21" t="str">
        <x:v>LN00020</x:v>
      </x:c>
      <x:c r="B21" t="str">
        <x:v>SME</x:v>
      </x:c>
      <x:c r="C21" t="str">
        <x:v>Retail</x:v>
      </x:c>
      <x:c r="D21" t="str">
        <x:v>HCMC</x:v>
      </x:c>
      <x:c r="E21" t="str">
        <x:v>BB</x:v>
      </x:c>
      <x:c r="F21" t="n">
        <x:v>2072000000000</x:v>
      </x:c>
      <x:c r="G21" t="n">
        <x:v>455507098944</x:v>
      </x:c>
      <x:c r="H21" t="str">
        <x:v>Inventory</x:v>
      </x:c>
      <x:c r="I21" t="n">
        <x:v>0.924</x:v>
      </x:c>
      <x:c r="J21" t="n">
        <x:v>2.681</x:v>
      </x:c>
      <x:c r="K21" t="n">
        <x:v>1.682</x:v>
      </x:c>
      <x:c r="L21" t="n">
        <x:v>0</x:v>
      </x:c>
      <x:c r="M21" t="n">
        <x:v>0</x:v>
      </x:c>
      <x:c r="N21" t="n">
        <x:v>0.055</x:v>
      </x:c>
      <x:c r="O21" t="n">
        <x:v>0.573404</x:v>
      </x:c>
      <x:c r="P21" t="n">
        <x:v>2254202839577</x:v>
      </x:c>
      <x:c r="Q21" t="n">
        <x:v>1</x:v>
      </x:c>
      <x:c r="R21" t="n">
        <x:v>0.0825</x:v>
      </x:c>
      <x:c r="S21" t="n">
        <x:v>71091263240</x:v>
      </x:c>
      <x:c r="T21" t="n">
        <x:v>0</x:v>
      </x:c>
    </x:row>
    <x:row r="22">
      <x:c r="A22" t="str">
        <x:v>LN00021</x:v>
      </x:c>
      <x:c r="B22" t="str">
        <x:v>Retail Mortgage</x:v>
      </x:c>
      <x:c r="C22" t="str">
        <x:v>Agriculture</x:v>
      </x:c>
      <x:c r="D22" t="str">
        <x:v>Da Nang</x:v>
      </x:c>
      <x:c r="E22" t="str">
        <x:v>BB</x:v>
      </x:c>
      <x:c r="F22" t="n">
        <x:v>41000000000</x:v>
      </x:c>
      <x:c r="G22" t="n">
        <x:v>2064073096</x:v>
      </x:c>
      <x:c r="H22" t="str">
        <x:v>Cash</x:v>
      </x:c>
      <x:c r="I22" t="n">
        <x:v>1.1384</x:v>
      </x:c>
      <x:c r="J22" t="n">
        <x:v>1.515</x:v>
      </x:c>
      <x:c r="K22" t="n">
        <x:v>3.425</x:v>
      </x:c>
      <x:c r="L22" t="n">
        <x:v>0</x:v>
      </x:c>
      <x:c r="M22" t="n">
        <x:v>0</x:v>
      </x:c>
      <x:c r="N22" t="n">
        <x:v>0.057803</x:v>
      </x:c>
      <x:c r="O22" t="n">
        <x:v>0.498453</x:v>
      </x:c>
      <x:c r="P22" t="n">
        <x:v>42548054822</x:v>
      </x:c>
      <x:c r="Q22" t="n">
        <x:v>1</x:v>
      </x:c>
      <x:c r="R22" t="n">
        <x:v>0.086705</x:v>
      </x:c>
      <x:c r="S22" t="n">
        <x:v>1225904647</x:v>
      </x:c>
      <x:c r="T22" t="n">
        <x:v>0</x:v>
      </x:c>
    </x:row>
    <x:row r="23">
      <x:c r="A23" t="str">
        <x:v>LN00022</x:v>
      </x:c>
      <x:c r="B23" t="str">
        <x:v>SME</x:v>
      </x:c>
      <x:c r="C23" t="str">
        <x:v>Retail</x:v>
      </x:c>
      <x:c r="D23" t="str">
        <x:v>Hanoi</x:v>
      </x:c>
      <x:c r="E23" t="str">
        <x:v>A</x:v>
      </x:c>
      <x:c r="F23" t="n">
        <x:v>2295000000000</x:v>
      </x:c>
      <x:c r="G23" t="n">
        <x:v>913090112923</x:v>
      </x:c>
      <x:c r="H23" t="str">
        <x:v>Inventory</x:v>
      </x:c>
      <x:c r="I23" t="n">
        <x:v>1.0357</x:v>
      </x:c>
      <x:c r="J23" t="n">
        <x:v>1.163</x:v>
      </x:c>
      <x:c r="K23" t="n">
        <x:v>4.282</x:v>
      </x:c>
      <x:c r="L23" t="n">
        <x:v>35</x:v>
      </x:c>
      <x:c r="M23" t="n">
        <x:v>3</x:v>
      </x:c>
      <x:c r="N23" t="n">
        <x:v>0.030202</x:v>
      </x:c>
      <x:c r="O23" t="n">
        <x:v>0.612511</x:v>
      </x:c>
      <x:c r="P23" t="n">
        <x:v>2660236045169</x:v>
      </x:c>
      <x:c r="Q23" t="n">
        <x:v>2</x:v>
      </x:c>
      <x:c r="R23" t="n">
        <x:v>0.090605</x:v>
      </x:c>
      <x:c r="S23" t="n">
        <x:v>147633270072</x:v>
      </x:c>
      <x:c r="T23" t="n">
        <x:v>0</x:v>
      </x:c>
    </x:row>
    <x:row r="24">
      <x:c r="A24" t="str">
        <x:v>LN00023</x:v>
      </x:c>
      <x:c r="B24" t="str">
        <x:v>Retail Mortgage</x:v>
      </x:c>
      <x:c r="C24" t="str">
        <x:v>Transport</x:v>
      </x:c>
      <x:c r="D24" t="str">
        <x:v>Can Tho</x:v>
      </x:c>
      <x:c r="E24" t="str">
        <x:v>A</x:v>
      </x:c>
      <x:c r="F24" t="n">
        <x:v>2745000000000</x:v>
      </x:c>
      <x:c r="G24" t="n">
        <x:v>1067335091050</x:v>
      </x:c>
      <x:c r="H24" t="str">
        <x:v>Receivables</x:v>
      </x:c>
      <x:c r="I24" t="n">
        <x:v>0.9087</x:v>
      </x:c>
      <x:c r="J24" t="n">
        <x:v>1.398</x:v>
      </x:c>
      <x:c r="K24" t="n">
        <x:v>3.356</x:v>
      </x:c>
      <x:c r="L24" t="n">
        <x:v>0</x:v>
      </x:c>
      <x:c r="M24" t="n">
        <x:v>1</x:v>
      </x:c>
      <x:c r="N24" t="n">
        <x:v>0.015512</x:v>
      </x:c>
      <x:c r="O24" t="n">
        <x:v>0.568043</x:v>
      </x:c>
      <x:c r="P24" t="n">
        <x:v>3545501318287</x:v>
      </x:c>
      <x:c r="Q24" t="n">
        <x:v>1</x:v>
      </x:c>
      <x:c r="R24" t="n">
        <x:v>0.023269</x:v>
      </x:c>
      <x:c r="S24" t="n">
        <x:v>31241860479</x:v>
      </x:c>
      <x:c r="T24" t="n">
        <x:v>0</x:v>
      </x:c>
    </x:row>
    <x:row r="25">
      <x:c r="A25" t="str">
        <x:v>LN00024</x:v>
      </x:c>
      <x:c r="B25" t="str">
        <x:v>Large Corporate</x:v>
      </x:c>
      <x:c r="C25" t="str">
        <x:v>Retail</x:v>
      </x:c>
      <x:c r="D25" t="str">
        <x:v>Hanoi</x:v>
      </x:c>
      <x:c r="E25" t="str">
        <x:v>B</x:v>
      </x:c>
      <x:c r="F25" t="n">
        <x:v>793000000000</x:v>
      </x:c>
      <x:c r="G25" t="n">
        <x:v>142192584450</x:v>
      </x:c>
      <x:c r="H25" t="str">
        <x:v>Unsecured</x:v>
      </x:c>
      <x:c r="I25" t="n">
        <x:v>0.5653</x:v>
      </x:c>
      <x:c r="J25" t="n">
        <x:v>1.763</x:v>
      </x:c>
      <x:c r="K25" t="n">
        <x:v>3.723</x:v>
      </x:c>
      <x:c r="L25" t="n">
        <x:v>0</x:v>
      </x:c>
      <x:c r="M25" t="n">
        <x:v>0</x:v>
      </x:c>
      <x:c r="N25" t="n">
        <x:v>0.130404</x:v>
      </x:c>
      <x:c r="O25" t="n">
        <x:v>0.64787</x:v>
      </x:c>
      <x:c r="P25" t="n">
        <x:v>849877033780</x:v>
      </x:c>
      <x:c r="Q25" t="n">
        <x:v>1</x:v>
      </x:c>
      <x:c r="R25" t="n">
        <x:v>0.195606</x:v>
      </x:c>
      <x:c r="S25" t="n">
        <x:v>71801858602</x:v>
      </x:c>
      <x:c r="T25" t="n">
        <x:v>0</x:v>
      </x:c>
    </x:row>
    <x:row r="26">
      <x:c r="A26" t="str">
        <x:v>LN00025</x:v>
      </x:c>
      <x:c r="B26" t="str">
        <x:v>Large Corporate</x:v>
      </x:c>
      <x:c r="C26" t="str">
        <x:v>F&amp;B</x:v>
      </x:c>
      <x:c r="D26" t="str">
        <x:v>Binh Duong</x:v>
      </x:c>
      <x:c r="E26" t="str">
        <x:v>A</x:v>
      </x:c>
      <x:c r="F26" t="n">
        <x:v>158000000000</x:v>
      </x:c>
      <x:c r="G26" t="n">
        <x:v>7707421106</x:v>
      </x:c>
      <x:c r="H26" t="str">
        <x:v>Inventory</x:v>
      </x:c>
      <x:c r="I26" t="n">
        <x:v>0.5539</x:v>
      </x:c>
      <x:c r="J26" t="n">
        <x:v>2.155</x:v>
      </x:c>
      <x:c r="K26" t="n">
        <x:v>2.456</x:v>
      </x:c>
      <x:c r="L26" t="n">
        <x:v>0</x:v>
      </x:c>
      <x:c r="M26" t="n">
        <x:v>0</x:v>
      </x:c>
      <x:c r="N26" t="n">
        <x:v>0.012</x:v>
      </x:c>
      <x:c r="O26" t="n">
        <x:v>0.443877</x:v>
      </x:c>
      <x:c r="P26" t="n">
        <x:v>161082968442</x:v>
      </x:c>
      <x:c r="Q26" t="n">
        <x:v>1</x:v>
      </x:c>
      <x:c r="R26" t="n">
        <x:v>0.018</x:v>
      </x:c>
      <x:c r="S26" t="n">
        <x:v>858013045</x:v>
      </x:c>
      <x:c r="T26" t="n">
        <x:v>0</x:v>
      </x:c>
    </x:row>
    <x:row r="27">
      <x:c r="A27" t="str">
        <x:v>LN00026</x:v>
      </x:c>
      <x:c r="B27" t="str">
        <x:v>SME</x:v>
      </x:c>
      <x:c r="C27" t="str">
        <x:v>Agriculture</x:v>
      </x:c>
      <x:c r="D27" t="str">
        <x:v>Da Nang</x:v>
      </x:c>
      <x:c r="E27" t="str">
        <x:v>B</x:v>
      </x:c>
      <x:c r="F27" t="n">
        <x:v>2748000000000</x:v>
      </x:c>
      <x:c r="G27" t="n">
        <x:v>243653640647</x:v>
      </x:c>
      <x:c r="H27" t="str">
        <x:v>Unsecured</x:v>
      </x:c>
      <x:c r="I27" t="n">
        <x:v>0.8359</x:v>
      </x:c>
      <x:c r="J27" t="n">
        <x:v>0.582</x:v>
      </x:c>
      <x:c r="K27" t="n">
        <x:v>4.628</x:v>
      </x:c>
      <x:c r="L27" t="n">
        <x:v>5</x:v>
      </x:c>
      <x:c r="M27" t="n">
        <x:v>0</x:v>
      </x:c>
      <x:c r="N27" t="n">
        <x:v>0.212798</x:v>
      </x:c>
      <x:c r="O27" t="n">
        <x:v>0.742549</x:v>
      </x:c>
      <x:c r="P27" t="n">
        <x:v>2845461456258</x:v>
      </x:c>
      <x:c r="Q27" t="n">
        <x:v>1</x:v>
      </x:c>
      <x:c r="R27" t="n">
        <x:v>0.319197</x:v>
      </x:c>
      <x:c r="S27" t="n">
        <x:v>449619008077</x:v>
      </x:c>
      <x:c r="T27" t="n">
        <x:v>0</x:v>
      </x:c>
    </x:row>
    <x:row r="28">
      <x:c r="A28" t="str">
        <x:v>LN00027</x:v>
      </x:c>
      <x:c r="B28" t="str">
        <x:v>SME</x:v>
      </x:c>
      <x:c r="C28" t="str">
        <x:v>Transport</x:v>
      </x:c>
      <x:c r="D28" t="str">
        <x:v>Can Tho</x:v>
      </x:c>
      <x:c r="E28" t="str">
        <x:v>BB</x:v>
      </x:c>
      <x:c r="F28" t="n">
        <x:v>2272000000000</x:v>
      </x:c>
      <x:c r="G28" t="n">
        <x:v>130139045758</x:v>
      </x:c>
      <x:c r="H28" t="str">
        <x:v>Inventory</x:v>
      </x:c>
      <x:c r="I28" t="n">
        <x:v>0.4332</x:v>
      </x:c>
      <x:c r="J28" t="n">
        <x:v>2.426</x:v>
      </x:c>
      <x:c r="K28" t="n">
        <x:v>1.867</x:v>
      </x:c>
      <x:c r="L28" t="n">
        <x:v>0</x:v>
      </x:c>
      <x:c r="M28" t="n">
        <x:v>0</x:v>
      </x:c>
      <x:c r="N28" t="n">
        <x:v>0.055</x:v>
      </x:c>
      <x:c r="O28" t="n">
        <x:v>0.401611</x:v>
      </x:c>
      <x:c r="P28" t="n">
        <x:v>2324055618303</x:v>
      </x:c>
      <x:c r="Q28" t="n">
        <x:v>1</x:v>
      </x:c>
      <x:c r="R28" t="n">
        <x:v>0.0825</x:v>
      </x:c>
      <x:c r="S28" t="n">
        <x:v>51335178253</x:v>
      </x:c>
      <x:c r="T28" t="n">
        <x:v>0</x:v>
      </x:c>
    </x:row>
    <x:row r="29">
      <x:c r="A29" t="str">
        <x:v>LN00028</x:v>
      </x:c>
      <x:c r="B29" t="str">
        <x:v>SME</x:v>
      </x:c>
      <x:c r="C29" t="str">
        <x:v>Transport</x:v>
      </x:c>
      <x:c r="D29" t="str">
        <x:v>Hanoi</x:v>
      </x:c>
      <x:c r="E29" t="str">
        <x:v>BB</x:v>
      </x:c>
      <x:c r="F29" t="n">
        <x:v>2769000000000</x:v>
      </x:c>
      <x:c r="G29" t="n">
        <x:v>266282630702</x:v>
      </x:c>
      <x:c r="H29" t="str">
        <x:v>Receivables</x:v>
      </x:c>
      <x:c r="I29" t="n">
        <x:v>0.7377</x:v>
      </x:c>
      <x:c r="J29" t="n">
        <x:v>0.633</x:v>
      </x:c>
      <x:c r="K29" t="n">
        <x:v>3.705</x:v>
      </x:c>
      <x:c r="L29" t="n">
        <x:v>0</x:v>
      </x:c>
      <x:c r="M29" t="n">
        <x:v>0</x:v>
      </x:c>
      <x:c r="N29" t="n">
        <x:v>0.084582</x:v>
      </x:c>
      <x:c r="O29" t="n">
        <x:v>0.508184</x:v>
      </x:c>
      <x:c r="P29" t="n">
        <x:v>2875513052280</x:v>
      </x:c>
      <x:c r="Q29" t="n">
        <x:v>1</x:v>
      </x:c>
      <x:c r="R29" t="n">
        <x:v>0.126874</x:v>
      </x:c>
      <x:c r="S29" t="n">
        <x:v>123599433321</x:v>
      </x:c>
      <x:c r="T29" t="n">
        <x:v>0</x:v>
      </x:c>
    </x:row>
    <x:row r="30">
      <x:c r="A30" t="str">
        <x:v>LN00029</x:v>
      </x:c>
      <x:c r="B30" t="str">
        <x:v>SME</x:v>
      </x:c>
      <x:c r="C30" t="str">
        <x:v>Retail</x:v>
      </x:c>
      <x:c r="D30" t="str">
        <x:v>HCMC</x:v>
      </x:c>
      <x:c r="E30" t="str">
        <x:v>B</x:v>
      </x:c>
      <x:c r="F30" t="n">
        <x:v>817000000000</x:v>
      </x:c>
      <x:c r="G30" t="n">
        <x:v>54174684219</x:v>
      </x:c>
      <x:c r="H30" t="str">
        <x:v>Machinery</x:v>
      </x:c>
      <x:c r="I30" t="n">
        <x:v>1.4</x:v>
      </x:c>
      <x:c r="J30" t="n">
        <x:v>2.253</x:v>
      </x:c>
      <x:c r="K30" t="n">
        <x:v>1.367</x:v>
      </x:c>
      <x:c r="L30" t="n">
        <x:v>0</x:v>
      </x:c>
      <x:c r="M30" t="n">
        <x:v>1</x:v>
      </x:c>
      <x:c r="N30" t="n">
        <x:v>0.15</x:v>
      </x:c>
      <x:c r="O30" t="n">
        <x:v>0.74</x:v>
      </x:c>
      <x:c r="P30" t="n">
        <x:v>838669873687</x:v>
      </x:c>
      <x:c r="Q30" t="n">
        <x:v>1</x:v>
      </x:c>
      <x:c r="R30" t="n">
        <x:v>0.225</x:v>
      </x:c>
      <x:c r="S30" t="n">
        <x:v>93092355979</x:v>
      </x:c>
      <x:c r="T30" t="n">
        <x:v>0</x:v>
      </x:c>
    </x:row>
    <x:row r="31">
      <x:c r="A31" t="str">
        <x:v>LN00030</x:v>
      </x:c>
      <x:c r="B31" t="str">
        <x:v>Retail Mortgage</x:v>
      </x:c>
      <x:c r="C31" t="str">
        <x:v>Real Estate</x:v>
      </x:c>
      <x:c r="D31" t="str">
        <x:v>Dong Nai</x:v>
      </x:c>
      <x:c r="E31" t="str">
        <x:v>A</x:v>
      </x:c>
      <x:c r="F31" t="n">
        <x:v>1743000000000</x:v>
      </x:c>
      <x:c r="G31" t="n">
        <x:v>171648045658</x:v>
      </x:c>
      <x:c r="H31" t="str">
        <x:v>Real Estate</x:v>
      </x:c>
      <x:c r="I31" t="n">
        <x:v>0.7653</x:v>
      </x:c>
      <x:c r="J31" t="n">
        <x:v>2.083</x:v>
      </x:c>
      <x:c r="K31" t="n">
        <x:v>1.163</x:v>
      </x:c>
      <x:c r="L31" t="n">
        <x:v>65</x:v>
      </x:c>
      <x:c r="M31" t="n">
        <x:v>0</x:v>
      </x:c>
      <x:c r="N31" t="n">
        <x:v>0.025</x:v>
      </x:c>
      <x:c r="O31" t="n">
        <x:v>0.517844</x:v>
      </x:c>
      <x:c r="P31" t="n">
        <x:v>1871736034243</x:v>
      </x:c>
      <x:c r="Q31" t="n">
        <x:v>2</x:v>
      </x:c>
      <x:c r="R31" t="n">
        <x:v>0.075</x:v>
      </x:c>
      <x:c r="S31" t="n">
        <x:v>72695073639</x:v>
      </x:c>
      <x:c r="T31" t="n">
        <x:v>0</x:v>
      </x:c>
    </x:row>
    <x:row r="32">
      <x:c r="A32" t="str">
        <x:v>LN00031</x:v>
      </x:c>
      <x:c r="B32" t="str">
        <x:v>SME</x:v>
      </x:c>
      <x:c r="C32" t="str">
        <x:v>Agriculture</x:v>
      </x:c>
      <x:c r="D32" t="str">
        <x:v>Can Tho</x:v>
      </x:c>
      <x:c r="E32" t="str">
        <x:v>BB</x:v>
      </x:c>
      <x:c r="F32" t="n">
        <x:v>2511000000000</x:v>
      </x:c>
      <x:c r="G32" t="n">
        <x:v>920916602959</x:v>
      </x:c>
      <x:c r="H32" t="str">
        <x:v>Receivables</x:v>
      </x:c>
      <x:c r="I32" t="n">
        <x:v>1.0143</x:v>
      </x:c>
      <x:c r="J32" t="n">
        <x:v>1.436</x:v>
      </x:c>
      <x:c r="K32" t="n">
        <x:v>4.468</x:v>
      </x:c>
      <x:c r="L32" t="n">
        <x:v>0</x:v>
      </x:c>
      <x:c r="M32" t="n">
        <x:v>1</x:v>
      </x:c>
      <x:c r="N32" t="n">
        <x:v>0.07844</x:v>
      </x:c>
      <x:c r="O32" t="n">
        <x:v>0.60499</x:v>
      </x:c>
      <x:c r="P32" t="n">
        <x:v>2879366641183</x:v>
      </x:c>
      <x:c r="Q32" t="n">
        <x:v>1</x:v>
      </x:c>
      <x:c r="R32" t="n">
        <x:v>0.11766</x:v>
      </x:c>
      <x:c r="S32" t="n">
        <x:v>136641365687</x:v>
      </x:c>
      <x:c r="T32" t="n">
        <x:v>0</x:v>
      </x:c>
    </x:row>
    <x:row r="33">
      <x:c r="A33" t="str">
        <x:v>LN00032</x:v>
      </x:c>
      <x:c r="B33" t="str">
        <x:v>SME</x:v>
      </x:c>
      <x:c r="C33" t="str">
        <x:v>Technology</x:v>
      </x:c>
      <x:c r="D33" t="str">
        <x:v>Hanoi</x:v>
      </x:c>
      <x:c r="E33" t="str">
        <x:v>B</x:v>
      </x:c>
      <x:c r="F33" t="n">
        <x:v>1803000000000</x:v>
      </x:c>
      <x:c r="G33" t="n">
        <x:v>62866119158</x:v>
      </x:c>
      <x:c r="H33" t="str">
        <x:v>Inventory</x:v>
      </x:c>
      <x:c r="I33" t="n">
        <x:v>1.1846</x:v>
      </x:c>
      <x:c r="J33" t="n">
        <x:v>1.703</x:v>
      </x:c>
      <x:c r="K33" t="n">
        <x:v>4.287</x:v>
      </x:c>
      <x:c r="L33" t="n">
        <x:v>0</x:v>
      </x:c>
      <x:c r="M33" t="n">
        <x:v>0</x:v>
      </x:c>
      <x:c r="N33" t="n">
        <x:v>0.138531</x:v>
      </x:c>
      <x:c r="O33" t="n">
        <x:v>0.664623</x:v>
      </x:c>
      <x:c r="P33" t="n">
        <x:v>1828146447663</x:v>
      </x:c>
      <x:c r="Q33" t="n">
        <x:v>1</x:v>
      </x:c>
      <x:c r="R33" t="n">
        <x:v>0.207797</x:v>
      </x:c>
      <x:c r="S33" t="n">
        <x:v>168319197479</x:v>
      </x:c>
      <x:c r="T33" t="n">
        <x:v>0</x:v>
      </x:c>
    </x:row>
    <x:row r="34">
      <x:c r="A34" t="str">
        <x:v>LN00033</x:v>
      </x:c>
      <x:c r="B34" t="str">
        <x:v>SME</x:v>
      </x:c>
      <x:c r="C34" t="str">
        <x:v>Transport</x:v>
      </x:c>
      <x:c r="D34" t="str">
        <x:v>Can Tho</x:v>
      </x:c>
      <x:c r="E34" t="str">
        <x:v>BBB</x:v>
      </x:c>
      <x:c r="F34" t="n">
        <x:v>257000000000</x:v>
      </x:c>
      <x:c r="G34" t="n">
        <x:v>23920397147</x:v>
      </x:c>
      <x:c r="H34" t="str">
        <x:v>Receivables</x:v>
      </x:c>
      <x:c r="I34" t="n">
        <x:v>0.4697</x:v>
      </x:c>
      <x:c r="J34" t="n">
        <x:v>2.374</x:v>
      </x:c>
      <x:c r="K34" t="n">
        <x:v>1.335</x:v>
      </x:c>
      <x:c r="L34" t="n">
        <x:v>0</x:v>
      </x:c>
      <x:c r="M34" t="n">
        <x:v>0</x:v>
      </x:c>
      <x:c r="N34" t="n">
        <x:v>0.025</x:v>
      </x:c>
      <x:c r="O34" t="n">
        <x:v>0.414387</x:v>
      </x:c>
      <x:c r="P34" t="n">
        <x:v>266568158858</x:v>
      </x:c>
      <x:c r="Q34" t="n">
        <x:v>1</x:v>
      </x:c>
      <x:c r="R34" t="n">
        <x:v>0.0375</x:v>
      </x:c>
      <x:c r="S34" t="n">
        <x:v>2761561541</x:v>
      </x:c>
      <x:c r="T34" t="n">
        <x:v>0</x:v>
      </x:c>
    </x:row>
    <x:row r="35">
      <x:c r="A35" t="str">
        <x:v>LN00034</x:v>
      </x:c>
      <x:c r="B35" t="str">
        <x:v>SME</x:v>
      </x:c>
      <x:c r="C35" t="str">
        <x:v>Energy</x:v>
      </x:c>
      <x:c r="D35" t="str">
        <x:v>Can Tho</x:v>
      </x:c>
      <x:c r="E35" t="str">
        <x:v>B</x:v>
      </x:c>
      <x:c r="F35" t="n">
        <x:v>2238000000000</x:v>
      </x:c>
      <x:c r="G35" t="n">
        <x:v>805547234954</x:v>
      </x:c>
      <x:c r="H35" t="str">
        <x:v>Unsecured</x:v>
      </x:c>
      <x:c r="I35" t="n">
        <x:v>0.5831</x:v>
      </x:c>
      <x:c r="J35" t="n">
        <x:v>2.31</x:v>
      </x:c>
      <x:c r="K35" t="n">
        <x:v>2.23</x:v>
      </x:c>
      <x:c r="L35" t="n">
        <x:v>0</x:v>
      </x:c>
      <x:c r="M35" t="n">
        <x:v>0</x:v>
      </x:c>
      <x:c r="N35" t="n">
        <x:v>0.12</x:v>
      </x:c>
      <x:c r="O35" t="n">
        <x:v>0.654087</x:v>
      </x:c>
      <x:c r="P35" t="n">
        <x:v>2560218893981</x:v>
      </x:c>
      <x:c r="Q35" t="n">
        <x:v>1</x:v>
      </x:c>
      <x:c r="R35" t="n">
        <x:v>0.18</x:v>
      </x:c>
      <x:c r="S35" t="n">
        <x:v>200952722379</x:v>
      </x:c>
      <x:c r="T35" t="n">
        <x:v>0</x:v>
      </x:c>
    </x:row>
    <x:row r="36">
      <x:c r="A36" t="str">
        <x:v>LN00035</x:v>
      </x:c>
      <x:c r="B36" t="str">
        <x:v>Consumer Finance</x:v>
      </x:c>
      <x:c r="C36" t="str">
        <x:v>Manufacturing</x:v>
      </x:c>
      <x:c r="D36" t="str">
        <x:v>Can Tho</x:v>
      </x:c>
      <x:c r="E36" t="str">
        <x:v>BBB</x:v>
      </x:c>
      <x:c r="F36" t="n">
        <x:v>112000000000</x:v>
      </x:c>
      <x:c r="G36" t="n">
        <x:v>45709214674</x:v>
      </x:c>
      <x:c r="H36" t="str">
        <x:v>Cash</x:v>
      </x:c>
      <x:c r="I36" t="n">
        <x:v>0.6028</x:v>
      </x:c>
      <x:c r="J36" t="n">
        <x:v>1.357</x:v>
      </x:c>
      <x:c r="K36" t="n">
        <x:v>4.48</x:v>
      </x:c>
      <x:c r="L36" t="n">
        <x:v>0</x:v>
      </x:c>
      <x:c r="M36" t="n">
        <x:v>0</x:v>
      </x:c>
      <x:c r="N36" t="n">
        <x:v>0.02944</x:v>
      </x:c>
      <x:c r="O36" t="n">
        <x:v>0.310993</x:v>
      </x:c>
      <x:c r="P36" t="n">
        <x:v>146281911005</x:v>
      </x:c>
      <x:c r="Q36" t="n">
        <x:v>1</x:v>
      </x:c>
      <x:c r="R36" t="n">
        <x:v>0.04416</x:v>
      </x:c>
      <x:c r="S36" t="n">
        <x:v>1339288836</x:v>
      </x:c>
      <x:c r="T36" t="n">
        <x:v>0</x:v>
      </x:c>
    </x:row>
    <x:row r="37">
      <x:c r="A37" t="str">
        <x:v>LN00036</x:v>
      </x:c>
      <x:c r="B37" t="str">
        <x:v>Retail Mortgage</x:v>
      </x:c>
      <x:c r="C37" t="str">
        <x:v>F&amp;B</x:v>
      </x:c>
      <x:c r="D37" t="str">
        <x:v>Can Tho</x:v>
      </x:c>
      <x:c r="E37" t="str">
        <x:v>B</x:v>
      </x:c>
      <x:c r="F37" t="n">
        <x:v>1035000000000</x:v>
      </x:c>
      <x:c r="G37" t="n">
        <x:v>388859758620</x:v>
      </x:c>
      <x:c r="H37" t="str">
        <x:v>Receivables</x:v>
      </x:c>
      <x:c r="I37" t="n">
        <x:v>0.756</x:v>
      </x:c>
      <x:c r="J37" t="n">
        <x:v>0.901</x:v>
      </x:c>
      <x:c r="K37" t="n">
        <x:v>3.632</x:v>
      </x:c>
      <x:c r="L37" t="n">
        <x:v>0</x:v>
      </x:c>
      <x:c r="M37" t="n">
        <x:v>0</x:v>
      </x:c>
      <x:c r="N37" t="n">
        <x:v>0.157768</x:v>
      </x:c>
      <x:c r="O37" t="n">
        <x:v>0.514588</x:v>
      </x:c>
      <x:c r="P37" t="n">
        <x:v>1326644818965</x:v>
      </x:c>
      <x:c r="Q37" t="n">
        <x:v>1</x:v>
      </x:c>
      <x:c r="R37" t="n">
        <x:v>0.236653</x:v>
      </x:c>
      <x:c r="S37" t="n">
        <x:v>107704612525</x:v>
      </x:c>
      <x:c r="T37" t="n">
        <x:v>0</x:v>
      </x:c>
    </x:row>
    <x:row r="38">
      <x:c r="A38" t="str">
        <x:v>LN00037</x:v>
      </x:c>
      <x:c r="B38" t="str">
        <x:v>Large Corporate</x:v>
      </x:c>
      <x:c r="C38" t="str">
        <x:v>Retail</x:v>
      </x:c>
      <x:c r="D38" t="str">
        <x:v>Can Tho</x:v>
      </x:c>
      <x:c r="E38" t="str">
        <x:v>AA</x:v>
      </x:c>
      <x:c r="F38" t="n">
        <x:v>2546000000000</x:v>
      </x:c>
      <x:c r="G38" t="n">
        <x:v>174584453565</x:v>
      </x:c>
      <x:c r="H38" t="str">
        <x:v>Real Estate</x:v>
      </x:c>
      <x:c r="I38" t="n">
        <x:v>0.8588</x:v>
      </x:c>
      <x:c r="J38" t="n">
        <x:v>2.383</x:v>
      </x:c>
      <x:c r="K38" t="n">
        <x:v>2.297</x:v>
      </x:c>
      <x:c r="L38" t="n">
        <x:v>0</x:v>
      </x:c>
      <x:c r="M38" t="n">
        <x:v>0</x:v>
      </x:c>
      <x:c r="N38" t="n">
        <x:v>0.005</x:v>
      </x:c>
      <x:c r="O38" t="n">
        <x:v>0.550583</x:v>
      </x:c>
      <x:c r="P38" t="n">
        <x:v>2615833781426</x:v>
      </x:c>
      <x:c r="Q38" t="n">
        <x:v>1</x:v>
      </x:c>
      <x:c r="R38" t="n">
        <x:v>0.0075</x:v>
      </x:c>
      <x:c r="S38" t="n">
        <x:v>7201174177</x:v>
      </x:c>
      <x:c r="T38" t="n">
        <x:v>0</x:v>
      </x:c>
    </x:row>
    <x:row r="39">
      <x:c r="A39" t="str">
        <x:v>LN00038</x:v>
      </x:c>
      <x:c r="B39" t="str">
        <x:v>Large Corporate</x:v>
      </x:c>
      <x:c r="C39" t="str">
        <x:v>F&amp;B</x:v>
      </x:c>
      <x:c r="D39" t="str">
        <x:v>Can Tho</x:v>
      </x:c>
      <x:c r="E39" t="str">
        <x:v>B</x:v>
      </x:c>
      <x:c r="F39" t="n">
        <x:v>1279000000000</x:v>
      </x:c>
      <x:c r="G39" t="n">
        <x:v>331399807037</x:v>
      </x:c>
      <x:c r="H39" t="str">
        <x:v>Real Estate</x:v>
      </x:c>
      <x:c r="I39" t="n">
        <x:v>0.3257</x:v>
      </x:c>
      <x:c r="J39" t="n">
        <x:v>2.247</x:v>
      </x:c>
      <x:c r="K39" t="n">
        <x:v>2.458</x:v>
      </x:c>
      <x:c r="L39" t="n">
        <x:v>0</x:v>
      </x:c>
      <x:c r="M39" t="n">
        <x:v>1</x:v>
      </x:c>
      <x:c r="N39" t="n">
        <x:v>0.15</x:v>
      </x:c>
      <x:c r="O39" t="n">
        <x:v>0.364008</x:v>
      </x:c>
      <x:c r="P39" t="n">
        <x:v>1411559922814</x:v>
      </x:c>
      <x:c r="Q39" t="n">
        <x:v>1</x:v>
      </x:c>
      <x:c r="R39" t="n">
        <x:v>0.225</x:v>
      </x:c>
      <x:c r="S39" t="n">
        <x:v>77072898412</x:v>
      </x:c>
      <x:c r="T39" t="n">
        <x:v>0</x:v>
      </x:c>
    </x:row>
    <x:row r="40">
      <x:c r="A40" t="str">
        <x:v>LN00039</x:v>
      </x:c>
      <x:c r="B40" t="str">
        <x:v>Retail Mortgage</x:v>
      </x:c>
      <x:c r="C40" t="str">
        <x:v>Construction</x:v>
      </x:c>
      <x:c r="D40" t="str">
        <x:v>Dong Nai</x:v>
      </x:c>
      <x:c r="E40" t="str">
        <x:v>BB</x:v>
      </x:c>
      <x:c r="F40" t="n">
        <x:v>170000000000</x:v>
      </x:c>
      <x:c r="G40" t="n">
        <x:v>26561088046</x:v>
      </x:c>
      <x:c r="H40" t="str">
        <x:v>Cash</x:v>
      </x:c>
      <x:c r="I40" t="n">
        <x:v>0.6767</x:v>
      </x:c>
      <x:c r="J40" t="n">
        <x:v>2.03</x:v>
      </x:c>
      <x:c r="K40" t="n">
        <x:v>1.922</x:v>
      </x:c>
      <x:c r="L40" t="n">
        <x:v>0</x:v>
      </x:c>
      <x:c r="M40" t="n">
        <x:v>2</x:v>
      </x:c>
      <x:c r="N40" t="n">
        <x:v>0.0825</x:v>
      </x:c>
      <x:c r="O40" t="n">
        <x:v>0.33685</x:v>
      </x:c>
      <x:c r="P40" t="n">
        <x:v>189920816034</x:v>
      </x:c>
      <x:c r="Q40" t="n">
        <x:v>2</x:v>
      </x:c>
      <x:c r="R40" t="n">
        <x:v>0.2475</x:v>
      </x:c>
      <x:c r="S40" t="n">
        <x:v>15833764677</x:v>
      </x:c>
      <x:c r="T40" t="n">
        <x:v>0</x:v>
      </x:c>
    </x:row>
    <x:row r="41">
      <x:c r="A41" t="str">
        <x:v>LN00040</x:v>
      </x:c>
      <x:c r="B41" t="str">
        <x:v>Retail Mortgage</x:v>
      </x:c>
      <x:c r="C41" t="str">
        <x:v>Manufacturing</x:v>
      </x:c>
      <x:c r="D41" t="str">
        <x:v>Da Nang</x:v>
      </x:c>
      <x:c r="E41" t="str">
        <x:v>A</x:v>
      </x:c>
      <x:c r="F41" t="n">
        <x:v>1108000000000</x:v>
      </x:c>
      <x:c r="G41" t="n">
        <x:v>307093899731</x:v>
      </x:c>
      <x:c r="H41" t="str">
        <x:v>Unsecured</x:v>
      </x:c>
      <x:c r="I41" t="n">
        <x:v>0.5486</x:v>
      </x:c>
      <x:c r="J41" t="n">
        <x:v>2.631</x:v>
      </x:c>
      <x:c r="K41" t="n">
        <x:v>2.031</x:v>
      </x:c>
      <x:c r="L41" t="n">
        <x:v>0</x:v>
      </x:c>
      <x:c r="M41" t="n">
        <x:v>0</x:v>
      </x:c>
      <x:c r="N41" t="n">
        <x:v>0.012</x:v>
      </x:c>
      <x:c r="O41" t="n">
        <x:v>0.642022</x:v>
      </x:c>
      <x:c r="P41" t="n">
        <x:v>1338320424798</x:v>
      </x:c>
      <x:c r="Q41" t="n">
        <x:v>1</x:v>
      </x:c>
      <x:c r="R41" t="n">
        <x:v>0.018</x:v>
      </x:c>
      <x:c r="S41" t="n">
        <x:v>10310779296</x:v>
      </x:c>
      <x:c r="T41" t="n">
        <x:v>0</x:v>
      </x:c>
    </x:row>
    <x:row r="42">
      <x:c r="A42" t="str">
        <x:v>LN00041</x:v>
      </x:c>
      <x:c r="B42" t="str">
        <x:v>Retail Mortgage</x:v>
      </x:c>
      <x:c r="C42" t="str">
        <x:v>Retail</x:v>
      </x:c>
      <x:c r="D42" t="str">
        <x:v>Hanoi</x:v>
      </x:c>
      <x:c r="E42" t="str">
        <x:v>B</x:v>
      </x:c>
      <x:c r="F42" t="n">
        <x:v>2501000000000</x:v>
      </x:c>
      <x:c r="G42" t="n">
        <x:v>752012714062</x:v>
      </x:c>
      <x:c r="H42" t="str">
        <x:v>Cash</x:v>
      </x:c>
      <x:c r="I42" t="n">
        <x:v>0.7294</x:v>
      </x:c>
      <x:c r="J42" t="n">
        <x:v>2.35</x:v>
      </x:c>
      <x:c r="K42" t="n">
        <x:v>2.465</x:v>
      </x:c>
      <x:c r="L42" t="n">
        <x:v>0</x:v>
      </x:c>
      <x:c r="M42" t="n">
        <x:v>0</x:v>
      </x:c>
      <x:c r="N42" t="n">
        <x:v>0.12</x:v>
      </x:c>
      <x:c r="O42" t="n">
        <x:v>0.355274</x:v>
      </x:c>
      <x:c r="P42" t="n">
        <x:v>3065009535546</x:v>
      </x:c>
      <x:c r="Q42" t="n">
        <x:v>1</x:v>
      </x:c>
      <x:c r="R42" t="n">
        <x:v>0.18</x:v>
      </x:c>
      <x:c r="S42" t="n">
        <x:v>130670086299</x:v>
      </x:c>
      <x:c r="T42" t="n">
        <x:v>0</x:v>
      </x:c>
    </x:row>
    <x:row r="43">
      <x:c r="A43" t="str">
        <x:v>LN00042</x:v>
      </x:c>
      <x:c r="B43" t="str">
        <x:v>Large Corporate</x:v>
      </x:c>
      <x:c r="C43" t="str">
        <x:v>Retail</x:v>
      </x:c>
      <x:c r="D43" t="str">
        <x:v>Da Nang</x:v>
      </x:c>
      <x:c r="E43" t="str">
        <x:v>BB</x:v>
      </x:c>
      <x:c r="F43" t="n">
        <x:v>1666000000000</x:v>
      </x:c>
      <x:c r="G43" t="n">
        <x:v>366286811782</x:v>
      </x:c>
      <x:c r="H43" t="str">
        <x:v>Unsecured</x:v>
      </x:c>
      <x:c r="I43" t="n">
        <x:v>0.9723</x:v>
      </x:c>
      <x:c r="J43" t="n">
        <x:v>1.843</x:v>
      </x:c>
      <x:c r="K43" t="n">
        <x:v>1.058</x:v>
      </x:c>
      <x:c r="L43" t="n">
        <x:v>15</x:v>
      </x:c>
      <x:c r="M43" t="n">
        <x:v>0</x:v>
      </x:c>
      <x:c r="N43" t="n">
        <x:v>0.06875</x:v>
      </x:c>
      <x:c r="O43" t="n">
        <x:v>0.7903</x:v>
      </x:c>
      <x:c r="P43" t="n">
        <x:v>1812514724712</x:v>
      </x:c>
      <x:c r="Q43" t="n">
        <x:v>1</x:v>
      </x:c>
      <x:c r="R43" t="n">
        <x:v>0.103125</x:v>
      </x:c>
      <x:c r="S43" t="n">
        <x:v>98479599571</x:v>
      </x:c>
      <x:c r="T43" t="n">
        <x:v>0</x:v>
      </x:c>
    </x:row>
    <x:row r="44">
      <x:c r="A44" t="str">
        <x:v>LN00043</x:v>
      </x:c>
      <x:c r="B44" t="str">
        <x:v>SME</x:v>
      </x:c>
      <x:c r="C44" t="str">
        <x:v>Transport</x:v>
      </x:c>
      <x:c r="D44" t="str">
        <x:v>HCMC</x:v>
      </x:c>
      <x:c r="E44" t="str">
        <x:v>BB</x:v>
      </x:c>
      <x:c r="F44" t="n">
        <x:v>1410000000000</x:v>
      </x:c>
      <x:c r="G44" t="n">
        <x:v>269982169161</x:v>
      </x:c>
      <x:c r="H44" t="str">
        <x:v>Cash</x:v>
      </x:c>
      <x:c r="I44" t="n">
        <x:v>0.8454</x:v>
      </x:c>
      <x:c r="J44" t="n">
        <x:v>1.307</x:v>
      </x:c>
      <x:c r="K44" t="n">
        <x:v>2.875</x:v>
      </x:c>
      <x:c r="L44" t="n">
        <x:v>0</x:v>
      </x:c>
      <x:c r="M44" t="n">
        <x:v>0</x:v>
      </x:c>
      <x:c r="N44" t="n">
        <x:v>0.055</x:v>
      </x:c>
      <x:c r="O44" t="n">
        <x:v>0.395898</x:v>
      </x:c>
      <x:c r="P44" t="n">
        <x:v>1517992867664</x:v>
      </x:c>
      <x:c r="Q44" t="n">
        <x:v>1</x:v>
      </x:c>
      <x:c r="R44" t="n">
        <x:v>0.0825</x:v>
      </x:c>
      <x:c r="S44" t="n">
        <x:v>33053360712</x:v>
      </x:c>
      <x:c r="T44" t="n">
        <x:v>0</x:v>
      </x:c>
    </x:row>
    <x:row r="45">
      <x:c r="A45" t="str">
        <x:v>LN00044</x:v>
      </x:c>
      <x:c r="B45" t="str">
        <x:v>Large Corporate</x:v>
      </x:c>
      <x:c r="C45" t="str">
        <x:v>Technology</x:v>
      </x:c>
      <x:c r="D45" t="str">
        <x:v>Hanoi</x:v>
      </x:c>
      <x:c r="E45" t="str">
        <x:v>A</x:v>
      </x:c>
      <x:c r="F45" t="n">
        <x:v>2150000000000</x:v>
      </x:c>
      <x:c r="G45" t="n">
        <x:v>577395041445</x:v>
      </x:c>
      <x:c r="H45" t="str">
        <x:v>Cash</x:v>
      </x:c>
      <x:c r="I45" t="n">
        <x:v>0.9514</x:v>
      </x:c>
      <x:c r="J45" t="n">
        <x:v>2.832</x:v>
      </x:c>
      <x:c r="K45" t="n">
        <x:v>2.877</x:v>
      </x:c>
      <x:c r="L45" t="n">
        <x:v>0</x:v>
      </x:c>
      <x:c r="M45" t="n">
        <x:v>1</x:v>
      </x:c>
      <x:c r="N45" t="n">
        <x:v>0.015</x:v>
      </x:c>
      <x:c r="O45" t="n">
        <x:v>0.432996</x:v>
      </x:c>
      <x:c r="P45" t="n">
        <x:v>2380958016578</x:v>
      </x:c>
      <x:c r="Q45" t="n">
        <x:v>1</x:v>
      </x:c>
      <x:c r="R45" t="n">
        <x:v>0.0225</x:v>
      </x:c>
      <x:c r="S45" t="n">
        <x:v>15464184444</x:v>
      </x:c>
      <x:c r="T45" t="n">
        <x:v>0</x:v>
      </x:c>
    </x:row>
    <x:row r="46">
      <x:c r="A46" t="str">
        <x:v>LN00045</x:v>
      </x:c>
      <x:c r="B46" t="str">
        <x:v>SME</x:v>
      </x:c>
      <x:c r="C46" t="str">
        <x:v>Manufacturing</x:v>
      </x:c>
      <x:c r="D46" t="str">
        <x:v>Binh Duong</x:v>
      </x:c>
      <x:c r="E46" t="str">
        <x:v>BB</x:v>
      </x:c>
      <x:c r="F46" t="n">
        <x:v>422000000000</x:v>
      </x:c>
      <x:c r="G46" t="n">
        <x:v>165729477676</x:v>
      </x:c>
      <x:c r="H46" t="str">
        <x:v>Receivables</x:v>
      </x:c>
      <x:c r="I46" t="n">
        <x:v>0.6488</x:v>
      </x:c>
      <x:c r="J46" t="n">
        <x:v>1.522</x:v>
      </x:c>
      <x:c r="K46" t="n">
        <x:v>2.368</x:v>
      </x:c>
      <x:c r="L46" t="n">
        <x:v>0</x:v>
      </x:c>
      <x:c r="M46" t="n">
        <x:v>1</x:v>
      </x:c>
      <x:c r="N46" t="n">
        <x:v>0.06875</x:v>
      </x:c>
      <x:c r="O46" t="n">
        <x:v>0.477073</x:v>
      </x:c>
      <x:c r="P46" t="n">
        <x:v>488291791070</x:v>
      </x:c>
      <x:c r="Q46" t="n">
        <x:v>1</x:v>
      </x:c>
      <x:c r="R46" t="n">
        <x:v>0.103125</x:v>
      </x:c>
      <x:c r="S46" t="n">
        <x:v>16015356987</x:v>
      </x:c>
      <x:c r="T46" t="n">
        <x:v>0</x:v>
      </x:c>
    </x:row>
    <x:row r="47">
      <x:c r="A47" t="str">
        <x:v>LN00046</x:v>
      </x:c>
      <x:c r="B47" t="str">
        <x:v>Large Corporate</x:v>
      </x:c>
      <x:c r="C47" t="str">
        <x:v>Real Estate</x:v>
      </x:c>
      <x:c r="D47" t="str">
        <x:v>Da Nang</x:v>
      </x:c>
      <x:c r="E47" t="str">
        <x:v>BB</x:v>
      </x:c>
      <x:c r="F47" t="n">
        <x:v>1246000000000</x:v>
      </x:c>
      <x:c r="G47" t="n">
        <x:v>47760935337</x:v>
      </x:c>
      <x:c r="H47" t="str">
        <x:v>Cash</x:v>
      </x:c>
      <x:c r="I47" t="n">
        <x:v>1.001</x:v>
      </x:c>
      <x:c r="J47" t="n">
        <x:v>1.808</x:v>
      </x:c>
      <x:c r="K47" t="n">
        <x:v>4.989</x:v>
      </x:c>
      <x:c r="L47" t="n">
        <x:v>0</x:v>
      </x:c>
      <x:c r="M47" t="n">
        <x:v>1</x:v>
      </x:c>
      <x:c r="N47" t="n">
        <x:v>0.081878</x:v>
      </x:c>
      <x:c r="O47" t="n">
        <x:v>0.450342</x:v>
      </x:c>
      <x:c r="P47" t="n">
        <x:v>1265104374134</x:v>
      </x:c>
      <x:c r="Q47" t="n">
        <x:v>1</x:v>
      </x:c>
      <x:c r="R47" t="n">
        <x:v>0.122817</x:v>
      </x:c>
      <x:c r="S47" t="n">
        <x:v>46648215083</x:v>
      </x:c>
      <x:c r="T47" t="n">
        <x:v>0</x:v>
      </x:c>
    </x:row>
    <x:row r="48">
      <x:c r="A48" t="str">
        <x:v>LN00047</x:v>
      </x:c>
      <x:c r="B48" t="str">
        <x:v>Large Corporate</x:v>
      </x:c>
      <x:c r="C48" t="str">
        <x:v>Energy</x:v>
      </x:c>
      <x:c r="D48" t="str">
        <x:v>Dong Nai</x:v>
      </x:c>
      <x:c r="E48" t="str">
        <x:v>B</x:v>
      </x:c>
      <x:c r="F48" t="n">
        <x:v>248000000000</x:v>
      </x:c>
      <x:c r="G48" t="n">
        <x:v>68034809806</x:v>
      </x:c>
      <x:c r="H48" t="str">
        <x:v>Cash</x:v>
      </x:c>
      <x:c r="I48" t="n">
        <x:v>0.8198</x:v>
      </x:c>
      <x:c r="J48" t="n">
        <x:v>0.467</x:v>
      </x:c>
      <x:c r="K48" t="n">
        <x:v>3.453</x:v>
      </x:c>
      <x:c r="L48" t="n">
        <x:v>0</x:v>
      </x:c>
      <x:c r="M48" t="n">
        <x:v>0</x:v>
      </x:c>
      <x:c r="N48" t="n">
        <x:v>0.196892</x:v>
      </x:c>
      <x:c r="O48" t="n">
        <x:v>0.386921</x:v>
      </x:c>
      <x:c r="P48" t="n">
        <x:v>275213923922</x:v>
      </x:c>
      <x:c r="Q48" t="n">
        <x:v>1</x:v>
      </x:c>
      <x:c r="R48" t="n">
        <x:v>0.295337</x:v>
      </x:c>
      <x:c r="S48" t="n">
        <x:v>20966224024</x:v>
      </x:c>
      <x:c r="T48" t="n">
        <x:v>1</x:v>
      </x:c>
    </x:row>
    <x:row r="49">
      <x:c r="A49" t="str">
        <x:v>LN00048</x:v>
      </x:c>
      <x:c r="B49" t="str">
        <x:v>Large Corporate</x:v>
      </x:c>
      <x:c r="C49" t="str">
        <x:v>F&amp;B</x:v>
      </x:c>
      <x:c r="D49" t="str">
        <x:v>Hai Phong</x:v>
      </x:c>
      <x:c r="E49" t="str">
        <x:v>BB</x:v>
      </x:c>
      <x:c r="F49" t="n">
        <x:v>2897000000000</x:v>
      </x:c>
      <x:c r="G49" t="n">
        <x:v>368565807107</x:v>
      </x:c>
      <x:c r="H49" t="str">
        <x:v>Inventory</x:v>
      </x:c>
      <x:c r="I49" t="n">
        <x:v>0.7511</x:v>
      </x:c>
      <x:c r="J49" t="n">
        <x:v>1.934</x:v>
      </x:c>
      <x:c r="K49" t="n">
        <x:v>2.785</x:v>
      </x:c>
      <x:c r="L49" t="n">
        <x:v>15</x:v>
      </x:c>
      <x:c r="M49" t="n">
        <x:v>0</x:v>
      </x:c>
      <x:c r="N49" t="n">
        <x:v>0.06875</x:v>
      </x:c>
      <x:c r="O49" t="n">
        <x:v>0.512892</x:v>
      </x:c>
      <x:c r="P49" t="n">
        <x:v>3044426322842</x:v>
      </x:c>
      <x:c r="Q49" t="n">
        <x:v>1</x:v>
      </x:c>
      <x:c r="R49" t="n">
        <x:v>0.103125</x:v>
      </x:c>
      <x:c r="S49" t="n">
        <x:v>107350471293</x:v>
      </x:c>
      <x:c r="T49" t="n">
        <x:v>0</x:v>
      </x:c>
    </x:row>
    <x:row r="50">
      <x:c r="A50" t="str">
        <x:v>LN00049</x:v>
      </x:c>
      <x:c r="B50" t="str">
        <x:v>SME</x:v>
      </x:c>
      <x:c r="C50" t="str">
        <x:v>Retail</x:v>
      </x:c>
      <x:c r="D50" t="str">
        <x:v>Binh Duong</x:v>
      </x:c>
      <x:c r="E50" t="str">
        <x:v>A</x:v>
      </x:c>
      <x:c r="F50" t="n">
        <x:v>584000000000</x:v>
      </x:c>
      <x:c r="G50" t="n">
        <x:v>18766505125</x:v>
      </x:c>
      <x:c r="H50" t="str">
        <x:v>Inventory</x:v>
      </x:c>
      <x:c r="I50" t="n">
        <x:v>0.9364</x:v>
      </x:c>
      <x:c r="J50" t="n">
        <x:v>2.207</x:v>
      </x:c>
      <x:c r="K50" t="n">
        <x:v>3.188</x:v>
      </x:c>
      <x:c r="L50" t="n">
        <x:v>5</x:v>
      </x:c>
      <x:c r="M50" t="n">
        <x:v>0</x:v>
      </x:c>
      <x:c r="N50" t="n">
        <x:v>0.013271</x:v>
      </x:c>
      <x:c r="O50" t="n">
        <x:v>0.577753</x:v>
      </x:c>
      <x:c r="P50" t="n">
        <x:v>591506602050</x:v>
      </x:c>
      <x:c r="Q50" t="n">
        <x:v>1</x:v>
      </x:c>
      <x:c r="R50" t="n">
        <x:v>0.019906</x:v>
      </x:c>
      <x:c r="S50" t="n">
        <x:v>4535250719</x:v>
      </x:c>
      <x:c r="T50" t="n">
        <x:v>0</x:v>
      </x:c>
    </x:row>
    <x:row r="51">
      <x:c r="A51" t="str">
        <x:v>LN00050</x:v>
      </x:c>
      <x:c r="B51" t="str">
        <x:v>SME</x:v>
      </x:c>
      <x:c r="C51" t="str">
        <x:v>Construction</x:v>
      </x:c>
      <x:c r="D51" t="str">
        <x:v>Binh Duong</x:v>
      </x:c>
      <x:c r="E51" t="str">
        <x:v>BBB</x:v>
      </x:c>
      <x:c r="F51" t="n">
        <x:v>1322000000000</x:v>
      </x:c>
      <x:c r="G51" t="n">
        <x:v>359149244998</x:v>
      </x:c>
      <x:c r="H51" t="str">
        <x:v>Receivables</x:v>
      </x:c>
      <x:c r="I51" t="n">
        <x:v>0.9501</x:v>
      </x:c>
      <x:c r="J51" t="n">
        <x:v>2.191</x:v>
      </x:c>
      <x:c r="K51" t="n">
        <x:v>3.363</x:v>
      </x:c>
      <x:c r="L51" t="n">
        <x:v>0</x:v>
      </x:c>
      <x:c r="M51" t="n">
        <x:v>0</x:v>
      </x:c>
      <x:c r="N51" t="n">
        <x:v>0.02609</x:v>
      </x:c>
      <x:c r="O51" t="n">
        <x:v>0.582518</x:v>
      </x:c>
      <x:c r="P51" t="n">
        <x:v>1465659697999</x:v>
      </x:c>
      <x:c r="Q51" t="n">
        <x:v>1</x:v>
      </x:c>
      <x:c r="R51" t="n">
        <x:v>0.039135</x:v>
      </x:c>
      <x:c r="S51" t="n">
        <x:v>22274953742</x:v>
      </x:c>
      <x:c r="T51" t="n">
        <x:v>0</x:v>
      </x:c>
    </x:row>
    <x:row r="52">
      <x:c r="A52" t="str">
        <x:v>LN00051</x:v>
      </x:c>
      <x:c r="B52" t="str">
        <x:v>SME</x:v>
      </x:c>
      <x:c r="C52" t="str">
        <x:v>Manufacturing</x:v>
      </x:c>
      <x:c r="D52" t="str">
        <x:v>Hai Phong</x:v>
      </x:c>
      <x:c r="E52" t="str">
        <x:v>AA</x:v>
      </x:c>
      <x:c r="F52" t="n">
        <x:v>1813000000000</x:v>
      </x:c>
      <x:c r="G52" t="n">
        <x:v>747377984030</x:v>
      </x:c>
      <x:c r="H52" t="str">
        <x:v>Unsecured</x:v>
      </x:c>
      <x:c r="I52" t="n">
        <x:v>0.9607</x:v>
      </x:c>
      <x:c r="J52" t="n">
        <x:v>2.463</x:v>
      </x:c>
      <x:c r="K52" t="n">
        <x:v>2.121</x:v>
      </x:c>
      <x:c r="L52" t="n">
        <x:v>0</x:v>
      </x:c>
      <x:c r="M52" t="n">
        <x:v>0</x:v>
      </x:c>
      <x:c r="N52" t="n">
        <x:v>0.005</x:v>
      </x:c>
      <x:c r="O52" t="n">
        <x:v>0.786258</x:v>
      </x:c>
      <x:c r="P52" t="n">
        <x:v>2111951193612</x:v>
      </x:c>
      <x:c r="Q52" t="n">
        <x:v>1</x:v>
      </x:c>
      <x:c r="R52" t="n">
        <x:v>0.0075</x:v>
      </x:c>
      <x:c r="S52" t="n">
        <x:v>8302695261</x:v>
      </x:c>
      <x:c r="T52" t="n">
        <x:v>0</x:v>
      </x:c>
    </x:row>
    <x:row r="53">
      <x:c r="A53" t="str">
        <x:v>LN00052</x:v>
      </x:c>
      <x:c r="B53" t="str">
        <x:v>SME</x:v>
      </x:c>
      <x:c r="C53" t="str">
        <x:v>F&amp;B</x:v>
      </x:c>
      <x:c r="D53" t="str">
        <x:v>Hai Phong</x:v>
      </x:c>
      <x:c r="E53" t="str">
        <x:v>BB</x:v>
      </x:c>
      <x:c r="F53" t="n">
        <x:v>2255000000000</x:v>
      </x:c>
      <x:c r="G53" t="n">
        <x:v>37238412985</x:v>
      </x:c>
      <x:c r="H53" t="str">
        <x:v>Receivables</x:v>
      </x:c>
      <x:c r="I53" t="n">
        <x:v>0.9503</x:v>
      </x:c>
      <x:c r="J53" t="n">
        <x:v>2.157</x:v>
      </x:c>
      <x:c r="K53" t="n">
        <x:v>3.761</x:v>
      </x:c>
      <x:c r="L53" t="n">
        <x:v>35</x:v>
      </x:c>
      <x:c r="M53" t="n">
        <x:v>1</x:v>
      </x:c>
      <x:c r="N53" t="n">
        <x:v>0.105857</x:v>
      </x:c>
      <x:c r="O53" t="n">
        <x:v>0.582614</x:v>
      </x:c>
      <x:c r="P53" t="n">
        <x:v>2269895365194</x:v>
      </x:c>
      <x:c r="Q53" t="n">
        <x:v>2</x:v>
      </x:c>
      <x:c r="R53" t="n">
        <x:v>0.317571</x:v>
      </x:c>
      <x:c r="S53" t="n">
        <x:v>419978384401</x:v>
      </x:c>
      <x:c r="T53" t="n">
        <x:v>1</x:v>
      </x:c>
    </x:row>
    <x:row r="54">
      <x:c r="A54" t="str">
        <x:v>LN00053</x:v>
      </x:c>
      <x:c r="B54" t="str">
        <x:v>SME</x:v>
      </x:c>
      <x:c r="C54" t="str">
        <x:v>Retail</x:v>
      </x:c>
      <x:c r="D54" t="str">
        <x:v>Dong Nai</x:v>
      </x:c>
      <x:c r="E54" t="str">
        <x:v>BBB</x:v>
      </x:c>
      <x:c r="F54" t="n">
        <x:v>2043000000000</x:v>
      </x:c>
      <x:c r="G54" t="n">
        <x:v>574969527091</x:v>
      </x:c>
      <x:c r="H54" t="str">
        <x:v>Cash</x:v>
      </x:c>
      <x:c r="I54" t="n">
        <x:v>0.8585</x:v>
      </x:c>
      <x:c r="J54" t="n">
        <x:v>1.43</x:v>
      </x:c>
      <x:c r="K54" t="n">
        <x:v>0.2</x:v>
      </x:c>
      <x:c r="L54" t="n">
        <x:v>0</x:v>
      </x:c>
      <x:c r="M54" t="n">
        <x:v>3</x:v>
      </x:c>
      <x:c r="N54" t="n">
        <x:v>0.04375</x:v>
      </x:c>
      <x:c r="O54" t="n">
        <x:v>0.400463</x:v>
      </x:c>
      <x:c r="P54" t="n">
        <x:v>2272987810836</x:v>
      </x:c>
      <x:c r="Q54" t="n">
        <x:v>2</x:v>
      </x:c>
      <x:c r="R54" t="n">
        <x:v>0.13125</x:v>
      </x:c>
      <x:c r="S54" t="n">
        <x:v>119469889281</x:v>
      </x:c>
      <x:c r="T54" t="n">
        <x:v>0</x:v>
      </x:c>
    </x:row>
    <x:row r="55">
      <x:c r="A55" t="str">
        <x:v>LN00054</x:v>
      </x:c>
      <x:c r="B55" t="str">
        <x:v>Large Corporate</x:v>
      </x:c>
      <x:c r="C55" t="str">
        <x:v>Agriculture</x:v>
      </x:c>
      <x:c r="D55" t="str">
        <x:v>Hai Phong</x:v>
      </x:c>
      <x:c r="E55" t="str">
        <x:v>A</x:v>
      </x:c>
      <x:c r="F55" t="n">
        <x:v>383000000000</x:v>
      </x:c>
      <x:c r="G55" t="n">
        <x:v>38727158657</x:v>
      </x:c>
      <x:c r="H55" t="str">
        <x:v>Receivables</x:v>
      </x:c>
      <x:c r="I55" t="n">
        <x:v>0.9674</x:v>
      </x:c>
      <x:c r="J55" t="n">
        <x:v>1.947</x:v>
      </x:c>
      <x:c r="K55" t="n">
        <x:v>2.623</x:v>
      </x:c>
      <x:c r="L55" t="n">
        <x:v>0</x:v>
      </x:c>
      <x:c r="M55" t="n">
        <x:v>2</x:v>
      </x:c>
      <x:c r="N55" t="n">
        <x:v>0.018</x:v>
      </x:c>
      <x:c r="O55" t="n">
        <x:v>0.58858</x:v>
      </x:c>
      <x:c r="P55" t="n">
        <x:v>398490863462</x:v>
      </x:c>
      <x:c r="Q55" t="n">
        <x:v>2</x:v>
      </x:c>
      <x:c r="R55" t="n">
        <x:v>0.054</x:v>
      </x:c>
      <x:c r="S55" t="n">
        <x:v>12665358509</x:v>
      </x:c>
      <x:c r="T55" t="n">
        <x:v>0</x:v>
      </x:c>
    </x:row>
    <x:row r="56">
      <x:c r="A56" t="str">
        <x:v>LN00055</x:v>
      </x:c>
      <x:c r="B56" t="str">
        <x:v>Large Corporate</x:v>
      </x:c>
      <x:c r="C56" t="str">
        <x:v>Technology</x:v>
      </x:c>
      <x:c r="D56" t="str">
        <x:v>Da Nang</x:v>
      </x:c>
      <x:c r="E56" t="str">
        <x:v>B</x:v>
      </x:c>
      <x:c r="F56" t="n">
        <x:v>594000000000</x:v>
      </x:c>
      <x:c r="G56" t="n">
        <x:v>102532541340</x:v>
      </x:c>
      <x:c r="H56" t="str">
        <x:v>Cash</x:v>
      </x:c>
      <x:c r="I56" t="n">
        <x:v>1.0601</x:v>
      </x:c>
      <x:c r="J56" t="n">
        <x:v>1.491</x:v>
      </x:c>
      <x:c r="K56" t="n">
        <x:v>5.231</x:v>
      </x:c>
      <x:c r="L56" t="n">
        <x:v>0</x:v>
      </x:c>
      <x:c r="M56" t="n">
        <x:v>2</x:v>
      </x:c>
      <x:c r="N56" t="n">
        <x:v>0.21212</x:v>
      </x:c>
      <x:c r="O56" t="n">
        <x:v>0.471051</x:v>
      </x:c>
      <x:c r="P56" t="n">
        <x:v>635013016536</x:v>
      </x:c>
      <x:c r="Q56" t="n">
        <x:v>2</x:v>
      </x:c>
      <x:c r="R56" t="n">
        <x:v>0.636361</x:v>
      </x:c>
      <x:c r="S56" t="n">
        <x:v>190350806617</x:v>
      </x:c>
      <x:c r="T56" t="n">
        <x:v>0</x:v>
      </x:c>
    </x:row>
    <x:row r="57">
      <x:c r="A57" t="str">
        <x:v>LN00056</x:v>
      </x:c>
      <x:c r="B57" t="str">
        <x:v>SME</x:v>
      </x:c>
      <x:c r="C57" t="str">
        <x:v>Healthcare</x:v>
      </x:c>
      <x:c r="D57" t="str">
        <x:v>Binh Duong</x:v>
      </x:c>
      <x:c r="E57" t="str">
        <x:v>BB</x:v>
      </x:c>
      <x:c r="F57" t="n">
        <x:v>2007000000000</x:v>
      </x:c>
      <x:c r="G57" t="n">
        <x:v>781460106103</x:v>
      </x:c>
      <x:c r="H57" t="str">
        <x:v>Unsecured</x:v>
      </x:c>
      <x:c r="I57" t="n">
        <x:v>1.1986</x:v>
      </x:c>
      <x:c r="J57" t="n">
        <x:v>1.202</x:v>
      </x:c>
      <x:c r="K57" t="n">
        <x:v>3.731</x:v>
      </x:c>
      <x:c r="L57" t="n">
        <x:v>0</x:v>
      </x:c>
      <x:c r="M57" t="n">
        <x:v>2</x:v>
      </x:c>
      <x:c r="N57" t="n">
        <x:v>0.087325</x:v>
      </x:c>
      <x:c r="O57" t="n">
        <x:v>0.869494</x:v>
      </x:c>
      <x:c r="P57" t="n">
        <x:v>2319584042441</x:v>
      </x:c>
      <x:c r="Q57" t="n">
        <x:v>2</x:v>
      </x:c>
      <x:c r="R57" t="n">
        <x:v>0.261975</x:v>
      </x:c>
      <x:c r="S57" t="n">
        <x:v>528366922824</x:v>
      </x:c>
      <x:c r="T57" t="n">
        <x:v>0</x:v>
      </x:c>
    </x:row>
    <x:row r="58">
      <x:c r="A58" t="str">
        <x:v>LN00057</x:v>
      </x:c>
      <x:c r="B58" t="str">
        <x:v>Large Corporate</x:v>
      </x:c>
      <x:c r="C58" t="str">
        <x:v>Energy</x:v>
      </x:c>
      <x:c r="D58" t="str">
        <x:v>Can Tho</x:v>
      </x:c>
      <x:c r="E58" t="str">
        <x:v>BBB</x:v>
      </x:c>
      <x:c r="F58" t="n">
        <x:v>1939000000000</x:v>
      </x:c>
      <x:c r="G58" t="n">
        <x:v>615346587588</x:v>
      </x:c>
      <x:c r="H58" t="str">
        <x:v>Unsecured</x:v>
      </x:c>
      <x:c r="I58" t="n">
        <x:v>0.9244</x:v>
      </x:c>
      <x:c r="J58" t="n">
        <x:v>1.297</x:v>
      </x:c>
      <x:c r="K58" t="n">
        <x:v>1.86</x:v>
      </x:c>
      <x:c r="L58" t="n">
        <x:v>0</x:v>
      </x:c>
      <x:c r="M58" t="n">
        <x:v>0</x:v>
      </x:c>
      <x:c r="N58" t="n">
        <x:v>0.025</x:v>
      </x:c>
      <x:c r="O58" t="n">
        <x:v>0.773523</x:v>
      </x:c>
      <x:c r="P58" t="n">
        <x:v>2185138635035</x:v>
      </x:c>
      <x:c r="Q58" t="n">
        <x:v>1</x:v>
      </x:c>
      <x:c r="R58" t="n">
        <x:v>0.0375</x:v>
      </x:c>
      <x:c r="S58" t="n">
        <x:v>42256365940</x:v>
      </x:c>
      <x:c r="T58" t="n">
        <x:v>0</x:v>
      </x:c>
    </x:row>
    <x:row r="59">
      <x:c r="A59" t="str">
        <x:v>LN00058</x:v>
      </x:c>
      <x:c r="B59" t="str">
        <x:v>SME</x:v>
      </x:c>
      <x:c r="C59" t="str">
        <x:v>Construction</x:v>
      </x:c>
      <x:c r="D59" t="str">
        <x:v>Dong Nai</x:v>
      </x:c>
      <x:c r="E59" t="str">
        <x:v>B</x:v>
      </x:c>
      <x:c r="F59" t="n">
        <x:v>64000000000</x:v>
      </x:c>
      <x:c r="G59" t="n">
        <x:v>20806382234</x:v>
      </x:c>
      <x:c r="H59" t="str">
        <x:v>Receivables</x:v>
      </x:c>
      <x:c r="I59" t="n">
        <x:v>0.8219</x:v>
      </x:c>
      <x:c r="J59" t="n">
        <x:v>1.123</x:v>
      </x:c>
      <x:c r="K59" t="n">
        <x:v>4.294</x:v>
      </x:c>
      <x:c r="L59" t="n">
        <x:v>95</x:v>
      </x:c>
      <x:c r="M59" t="n">
        <x:v>0</x:v>
      </x:c>
      <x:c r="N59" t="n">
        <x:v>0.336052</x:v>
      </x:c>
      <x:c r="O59" t="n">
        <x:v>0.537657</x:v>
      </x:c>
      <x:c r="P59" t="n">
        <x:v>72322552893</x:v>
      </x:c>
      <x:c r="Q59" t="n">
        <x:v>3</x:v>
      </x:c>
      <x:c r="R59" t="n">
        <x:v>0.336052</x:v>
      </x:c>
      <x:c r="S59" t="n">
        <x:v>13067310410</x:v>
      </x:c>
      <x:c r="T59" t="n">
        <x:v>1</x:v>
      </x:c>
    </x:row>
    <x:row r="60">
      <x:c r="A60" t="str">
        <x:v>LN00059</x:v>
      </x:c>
      <x:c r="B60" t="str">
        <x:v>Retail Mortgage</x:v>
      </x:c>
      <x:c r="C60" t="str">
        <x:v>Transport</x:v>
      </x:c>
      <x:c r="D60" t="str">
        <x:v>Hai Phong</x:v>
      </x:c>
      <x:c r="E60" t="str">
        <x:v>A</x:v>
      </x:c>
      <x:c r="F60" t="n">
        <x:v>1558000000000</x:v>
      </x:c>
      <x:c r="G60" t="n">
        <x:v>668947268387</x:v>
      </x:c>
      <x:c r="H60" t="str">
        <x:v>Cash</x:v>
      </x:c>
      <x:c r="I60" t="n">
        <x:v>0.5578</x:v>
      </x:c>
      <x:c r="J60" t="n">
        <x:v>0.978</x:v>
      </x:c>
      <x:c r="K60" t="n">
        <x:v>1.458</x:v>
      </x:c>
      <x:c r="L60" t="n">
        <x:v>5</x:v>
      </x:c>
      <x:c r="M60" t="n">
        <x:v>0</x:v>
      </x:c>
      <x:c r="N60" t="n">
        <x:v>0.015131</x:v>
      </x:c>
      <x:c r="O60" t="n">
        <x:v>0.295221</x:v>
      </x:c>
      <x:c r="P60" t="n">
        <x:v>2059710451290</x:v>
      </x:c>
      <x:c r="Q60" t="n">
        <x:v>1</x:v>
      </x:c>
      <x:c r="R60" t="n">
        <x:v>0.022697</x:v>
      </x:c>
      <x:c r="S60" t="n">
        <x:v>9200808915</x:v>
      </x:c>
      <x:c r="T60" t="n">
        <x:v>0</x:v>
      </x:c>
    </x:row>
    <x:row r="61">
      <x:c r="A61" t="str">
        <x:v>LN00060</x:v>
      </x:c>
      <x:c r="B61" t="str">
        <x:v>SME</x:v>
      </x:c>
      <x:c r="C61" t="str">
        <x:v>Construction</x:v>
      </x:c>
      <x:c r="D61" t="str">
        <x:v>HCMC</x:v>
      </x:c>
      <x:c r="E61" t="str">
        <x:v>CCC</x:v>
      </x:c>
      <x:c r="F61" t="n">
        <x:v>1228000000000</x:v>
      </x:c>
      <x:c r="G61" t="n">
        <x:v>499232136689</x:v>
      </x:c>
      <x:c r="H61" t="str">
        <x:v>Unsecured</x:v>
      </x:c>
      <x:c r="I61" t="n">
        <x:v>0.7516</x:v>
      </x:c>
      <x:c r="J61" t="n">
        <x:v>2.74</x:v>
      </x:c>
      <x:c r="K61" t="n">
        <x:v>3.912</x:v>
      </x:c>
      <x:c r="L61" t="n">
        <x:v>0</x:v>
      </x:c>
      <x:c r="M61" t="n">
        <x:v>0</x:v>
      </x:c>
      <x:c r="N61" t="n">
        <x:v>0.310627</x:v>
      </x:c>
      <x:c r="O61" t="n">
        <x:v>0.713046</x:v>
      </x:c>
      <x:c r="P61" t="n">
        <x:v>1427692854675</x:v>
      </x:c>
      <x:c r="Q61" t="n">
        <x:v>1</x:v>
      </x:c>
      <x:c r="R61" t="n">
        <x:v>0.46594</x:v>
      </x:c>
      <x:c r="S61" t="n">
        <x:v>316221194796</x:v>
      </x:c>
      <x:c r="T61" t="n">
        <x:v>0</x:v>
      </x:c>
    </x:row>
    <x:row r="62">
      <x:c r="A62" t="str">
        <x:v>LN00061</x:v>
      </x:c>
      <x:c r="B62" t="str">
        <x:v>Retail Mortgage</x:v>
      </x:c>
      <x:c r="C62" t="str">
        <x:v>Healthcare</x:v>
      </x:c>
      <x:c r="D62" t="str">
        <x:v>Hanoi</x:v>
      </x:c>
      <x:c r="E62" t="str">
        <x:v>A</x:v>
      </x:c>
      <x:c r="F62" t="n">
        <x:v>2800000000000</x:v>
      </x:c>
      <x:c r="G62" t="n">
        <x:v>303445537738</x:v>
      </x:c>
      <x:c r="H62" t="str">
        <x:v>Cash</x:v>
      </x:c>
      <x:c r="I62" t="n">
        <x:v>0.9449</x:v>
      </x:c>
      <x:c r="J62" t="n">
        <x:v>1.641</x:v>
      </x:c>
      <x:c r="K62" t="n">
        <x:v>2.16</x:v>
      </x:c>
      <x:c r="L62" t="n">
        <x:v>15</x:v>
      </x:c>
      <x:c r="M62" t="n">
        <x:v>2</x:v>
      </x:c>
      <x:c r="N62" t="n">
        <x:v>0.021</x:v>
      </x:c>
      <x:c r="O62" t="n">
        <x:v>0.430715</x:v>
      </x:c>
      <x:c r="P62" t="n">
        <x:v>3027584153303</x:v>
      </x:c>
      <x:c r="Q62" t="n">
        <x:v>2</x:v>
      </x:c>
      <x:c r="R62" t="n">
        <x:v>0.063</x:v>
      </x:c>
      <x:c r="S62" t="n">
        <x:v>82153545841</x:v>
      </x:c>
      <x:c r="T62" t="n">
        <x:v>0</x:v>
      </x:c>
    </x:row>
    <x:row r="63">
      <x:c r="A63" t="str">
        <x:v>LN00062</x:v>
      </x:c>
      <x:c r="B63" t="str">
        <x:v>Consumer Finance</x:v>
      </x:c>
      <x:c r="C63" t="str">
        <x:v>Transport</x:v>
      </x:c>
      <x:c r="D63" t="str">
        <x:v>Binh Duong</x:v>
      </x:c>
      <x:c r="E63" t="str">
        <x:v>BBB</x:v>
      </x:c>
      <x:c r="F63" t="n">
        <x:v>2619000000000</x:v>
      </x:c>
      <x:c r="G63" t="n">
        <x:v>1133799363776</x:v>
      </x:c>
      <x:c r="H63" t="str">
        <x:v>Inventory</x:v>
      </x:c>
      <x:c r="I63" t="n">
        <x:v>0.8775</x:v>
      </x:c>
      <x:c r="J63" t="n">
        <x:v>1.577</x:v>
      </x:c>
      <x:c r="K63" t="n">
        <x:v>1.761</x:v>
      </x:c>
      <x:c r="L63" t="n">
        <x:v>35</x:v>
      </x:c>
      <x:c r="M63" t="n">
        <x:v>0</x:v>
      </x:c>
      <x:c r="N63" t="n">
        <x:v>0.039583</x:v>
      </x:c>
      <x:c r="O63" t="n">
        <x:v>0.557114</x:v>
      </x:c>
      <x:c r="P63" t="n">
        <x:v>3469349522832</x:v>
      </x:c>
      <x:c r="Q63" t="n">
        <x:v>2</x:v>
      </x:c>
      <x:c r="R63" t="n">
        <x:v>0.11875</x:v>
      </x:c>
      <x:c r="S63" t="n">
        <x:v>229522704121</x:v>
      </x:c>
      <x:c r="T63" t="n">
        <x:v>0</x:v>
      </x:c>
    </x:row>
    <x:row r="64">
      <x:c r="A64" t="str">
        <x:v>LN00063</x:v>
      </x:c>
      <x:c r="B64" t="str">
        <x:v>Large Corporate</x:v>
      </x:c>
      <x:c r="C64" t="str">
        <x:v>F&amp;B</x:v>
      </x:c>
      <x:c r="D64" t="str">
        <x:v>Can Tho</x:v>
      </x:c>
      <x:c r="E64" t="str">
        <x:v>BBB</x:v>
      </x:c>
      <x:c r="F64" t="n">
        <x:v>1623000000000</x:v>
      </x:c>
      <x:c r="G64" t="n">
        <x:v>200466745663</x:v>
      </x:c>
      <x:c r="H64" t="str">
        <x:v>Unsecured</x:v>
      </x:c>
      <x:c r="I64" t="n">
        <x:v>0.5714</x:v>
      </x:c>
      <x:c r="J64" t="n">
        <x:v>1.463</x:v>
      </x:c>
      <x:c r="K64" t="n">
        <x:v>3.185</x:v>
      </x:c>
      <x:c r="L64" t="n">
        <x:v>35</x:v>
      </x:c>
      <x:c r="M64" t="n">
        <x:v>0</x:v>
      </x:c>
      <x:c r="N64" t="n">
        <x:v>0.040139</x:v>
      </x:c>
      <x:c r="O64" t="n">
        <x:v>0.649993</x:v>
      </x:c>
      <x:c r="P64" t="n">
        <x:v>1703186698265</x:v>
      </x:c>
      <x:c r="Q64" t="n">
        <x:v>2</x:v>
      </x:c>
      <x:c r="R64" t="n">
        <x:v>0.120416</x:v>
      </x:c>
      <x:c r="S64" t="n">
        <x:v>133307838628</x:v>
      </x:c>
      <x:c r="T64" t="n">
        <x:v>0</x:v>
      </x:c>
    </x:row>
    <x:row r="65">
      <x:c r="A65" t="str">
        <x:v>LN00064</x:v>
      </x:c>
      <x:c r="B65" t="str">
        <x:v>SME</x:v>
      </x:c>
      <x:c r="C65" t="str">
        <x:v>Retail</x:v>
      </x:c>
      <x:c r="D65" t="str">
        <x:v>Dong Nai</x:v>
      </x:c>
      <x:c r="E65" t="str">
        <x:v>BBB</x:v>
      </x:c>
      <x:c r="F65" t="n">
        <x:v>2954000000000</x:v>
      </x:c>
      <x:c r="G65" t="n">
        <x:v>1020198900536</x:v>
      </x:c>
      <x:c r="H65" t="str">
        <x:v>Unsecured</x:v>
      </x:c>
      <x:c r="I65" t="n">
        <x:v>0.7047</x:v>
      </x:c>
      <x:c r="J65" t="n">
        <x:v>1.674</x:v>
      </x:c>
      <x:c r="K65" t="n">
        <x:v>2.511</x:v>
      </x:c>
      <x:c r="L65" t="n">
        <x:v>0</x:v>
      </x:c>
      <x:c r="M65" t="n">
        <x:v>1</x:v>
      </x:c>
      <x:c r="N65" t="n">
        <x:v>0.03125</x:v>
      </x:c>
      <x:c r="O65" t="n">
        <x:v>0.696652</x:v>
      </x:c>
      <x:c r="P65" t="n">
        <x:v>3362079560214</x:v>
      </x:c>
      <x:c r="Q65" t="n">
        <x:v>1</x:v>
      </x:c>
      <x:c r="R65" t="n">
        <x:v>0.046875</x:v>
      </x:c>
      <x:c r="S65" t="n">
        <x:v>73193781272</x:v>
      </x:c>
      <x:c r="T65" t="n">
        <x:v>0</x:v>
      </x:c>
    </x:row>
    <x:row r="66">
      <x:c r="A66" t="str">
        <x:v>LN00065</x:v>
      </x:c>
      <x:c r="B66" t="str">
        <x:v>Large Corporate</x:v>
      </x:c>
      <x:c r="C66" t="str">
        <x:v>F&amp;B</x:v>
      </x:c>
      <x:c r="D66" t="str">
        <x:v>Dong Nai</x:v>
      </x:c>
      <x:c r="E66" t="str">
        <x:v>A</x:v>
      </x:c>
      <x:c r="F66" t="n">
        <x:v>721000000000</x:v>
      </x:c>
      <x:c r="G66" t="n">
        <x:v>65147871124</x:v>
      </x:c>
      <x:c r="H66" t="str">
        <x:v>Receivables</x:v>
      </x:c>
      <x:c r="I66" t="n">
        <x:v>0.943</x:v>
      </x:c>
      <x:c r="J66" t="n">
        <x:v>0.705</x:v>
      </x:c>
      <x:c r="K66" t="n">
        <x:v>2.1</x:v>
      </x:c>
      <x:c r="L66" t="n">
        <x:v>65</x:v>
      </x:c>
      <x:c r="M66" t="n">
        <x:v>2</x:v>
      </x:c>
      <x:c r="N66" t="n">
        <x:v>0.035755</x:v>
      </x:c>
      <x:c r="O66" t="n">
        <x:v>0.580055</x:v>
      </x:c>
      <x:c r="P66" t="n">
        <x:v>747059148449</x:v>
      </x:c>
      <x:c r="Q66" t="n">
        <x:v>2</x:v>
      </x:c>
      <x:c r="R66" t="n">
        <x:v>0.107265</x:v>
      </x:c>
      <x:c r="S66" t="n">
        <x:v>46481928901</x:v>
      </x:c>
      <x:c r="T66" t="n">
        <x:v>0</x:v>
      </x:c>
    </x:row>
    <x:row r="67">
      <x:c r="A67" t="str">
        <x:v>LN00066</x:v>
      </x:c>
      <x:c r="B67" t="str">
        <x:v>SME</x:v>
      </x:c>
      <x:c r="C67" t="str">
        <x:v>Construction</x:v>
      </x:c>
      <x:c r="D67" t="str">
        <x:v>Hanoi</x:v>
      </x:c>
      <x:c r="E67" t="str">
        <x:v>B</x:v>
      </x:c>
      <x:c r="F67" t="n">
        <x:v>578000000000</x:v>
      </x:c>
      <x:c r="G67" t="n">
        <x:v>196154803345</x:v>
      </x:c>
      <x:c r="H67" t="str">
        <x:v>Real Estate</x:v>
      </x:c>
      <x:c r="I67" t="n">
        <x:v>0.7687</x:v>
      </x:c>
      <x:c r="J67" t="n">
        <x:v>1.926</x:v>
      </x:c>
      <x:c r="K67" t="n">
        <x:v>5.278</x:v>
      </x:c>
      <x:c r="L67" t="n">
        <x:v>35</x:v>
      </x:c>
      <x:c r="M67" t="n">
        <x:v>0</x:v>
      </x:c>
      <x:c r="N67" t="n">
        <x:v>0.222806</x:v>
      </x:c>
      <x:c r="O67" t="n">
        <x:v>0.519054</x:v>
      </x:c>
      <x:c r="P67" t="n">
        <x:v>656461921338</x:v>
      </x:c>
      <x:c r="Q67" t="n">
        <x:v>2</x:v>
      </x:c>
      <x:c r="R67" t="n">
        <x:v>0.668417</x:v>
      </x:c>
      <x:c r="S67" t="n">
        <x:v>227756063322</x:v>
      </x:c>
      <x:c r="T67" t="n">
        <x:v>0</x:v>
      </x:c>
    </x:row>
    <x:row r="68">
      <x:c r="A68" t="str">
        <x:v>LN00067</x:v>
      </x:c>
      <x:c r="B68" t="str">
        <x:v>SME</x:v>
      </x:c>
      <x:c r="C68" t="str">
        <x:v>Construction</x:v>
      </x:c>
      <x:c r="D68" t="str">
        <x:v>Dong Nai</x:v>
      </x:c>
      <x:c r="E68" t="str">
        <x:v>BBB</x:v>
      </x:c>
      <x:c r="F68" t="n">
        <x:v>2755000000000</x:v>
      </x:c>
      <x:c r="G68" t="n">
        <x:v>325014605877</x:v>
      </x:c>
      <x:c r="H68" t="str">
        <x:v>Unsecured</x:v>
      </x:c>
      <x:c r="I68" t="n">
        <x:v>0.6408</x:v>
      </x:c>
      <x:c r="J68" t="n">
        <x:v>2.333</x:v>
      </x:c>
      <x:c r="K68" t="n">
        <x:v>1.749</x:v>
      </x:c>
      <x:c r="L68" t="n">
        <x:v>65</x:v>
      </x:c>
      <x:c r="M68" t="n">
        <x:v>0</x:v>
      </x:c>
      <x:c r="N68" t="n">
        <x:v>0.052083</x:v>
      </x:c>
      <x:c r="O68" t="n">
        <x:v>0.674263</x:v>
      </x:c>
      <x:c r="P68" t="n">
        <x:v>2885005842350</x:v>
      </x:c>
      <x:c r="Q68" t="n">
        <x:v>2</x:v>
      </x:c>
      <x:c r="R68" t="n">
        <x:v>0.15625</x:v>
      </x:c>
      <x:c r="S68" t="n">
        <x:v>303945954378</x:v>
      </x:c>
      <x:c r="T68" t="n">
        <x:v>0</x:v>
      </x:c>
    </x:row>
    <x:row r="69">
      <x:c r="A69" t="str">
        <x:v>LN00068</x:v>
      </x:c>
      <x:c r="B69" t="str">
        <x:v>SME</x:v>
      </x:c>
      <x:c r="C69" t="str">
        <x:v>F&amp;B</x:v>
      </x:c>
      <x:c r="D69" t="str">
        <x:v>Hai Phong</x:v>
      </x:c>
      <x:c r="E69" t="str">
        <x:v>B</x:v>
      </x:c>
      <x:c r="F69" t="n">
        <x:v>574000000000</x:v>
      </x:c>
      <x:c r="G69" t="n">
        <x:v>11713081284</x:v>
      </x:c>
      <x:c r="H69" t="str">
        <x:v>Real Estate</x:v>
      </x:c>
      <x:c r="I69" t="n">
        <x:v>0.6996</x:v>
      </x:c>
      <x:c r="J69" t="n">
        <x:v>3.575</x:v>
      </x:c>
      <x:c r="K69" t="n">
        <x:v>4.276</x:v>
      </x:c>
      <x:c r="L69" t="n">
        <x:v>0</x:v>
      </x:c>
      <x:c r="M69" t="n">
        <x:v>0</x:v>
      </x:c>
      <x:c r="N69" t="n">
        <x:v>0.138376</x:v>
      </x:c>
      <x:c r="O69" t="n">
        <x:v>0.494848</x:v>
      </x:c>
      <x:c r="P69" t="n">
        <x:v>578685232513</x:v>
      </x:c>
      <x:c r="Q69" t="n">
        <x:v>1</x:v>
      </x:c>
      <x:c r="R69" t="n">
        <x:v>0.207564</x:v>
      </x:c>
      <x:c r="S69" t="n">
        <x:v>39625533909</x:v>
      </x:c>
      <x:c r="T69" t="n">
        <x:v>0</x:v>
      </x:c>
    </x:row>
    <x:row r="70">
      <x:c r="A70" t="str">
        <x:v>LN00069</x:v>
      </x:c>
      <x:c r="B70" t="str">
        <x:v>Retail Mortgage</x:v>
      </x:c>
      <x:c r="C70" t="str">
        <x:v>Manufacturing</x:v>
      </x:c>
      <x:c r="D70" t="str">
        <x:v>Binh Duong</x:v>
      </x:c>
      <x:c r="E70" t="str">
        <x:v>BB</x:v>
      </x:c>
      <x:c r="F70" t="n">
        <x:v>407000000000</x:v>
      </x:c>
      <x:c r="G70" t="n">
        <x:v>152690888205</x:v>
      </x:c>
      <x:c r="H70" t="str">
        <x:v>Unsecured</x:v>
      </x:c>
      <x:c r="I70" t="n">
        <x:v>0.4964</x:v>
      </x:c>
      <x:c r="J70" t="n">
        <x:v>0.936</x:v>
      </x:c>
      <x:c r="K70" t="n">
        <x:v>2.802</x:v>
      </x:c>
      <x:c r="L70" t="n">
        <x:v>0</x:v>
      </x:c>
      <x:c r="M70" t="n">
        <x:v>0</x:v>
      </x:c>
      <x:c r="N70" t="n">
        <x:v>0.066632</x:v>
      </x:c>
      <x:c r="O70" t="n">
        <x:v>0.623744</x:v>
      </x:c>
      <x:c r="P70" t="n">
        <x:v>521518166153</x:v>
      </x:c>
      <x:c r="Q70" t="n">
        <x:v>1</x:v>
      </x:c>
      <x:c r="R70" t="n">
        <x:v>0.099948</x:v>
      </x:c>
      <x:c r="S70" t="n">
        <x:v>21675035582</x:v>
      </x:c>
      <x:c r="T70" t="n">
        <x:v>0</x:v>
      </x:c>
    </x:row>
    <x:row r="71">
      <x:c r="A71" t="str">
        <x:v>LN00070</x:v>
      </x:c>
      <x:c r="B71" t="str">
        <x:v>Large Corporate</x:v>
      </x:c>
      <x:c r="C71" t="str">
        <x:v>Transport</x:v>
      </x:c>
      <x:c r="D71" t="str">
        <x:v>HCMC</x:v>
      </x:c>
      <x:c r="E71" t="str">
        <x:v>B</x:v>
      </x:c>
      <x:c r="F71" t="n">
        <x:v>779000000000</x:v>
      </x:c>
      <x:c r="G71" t="n">
        <x:v>339404920359</x:v>
      </x:c>
      <x:c r="H71" t="str">
        <x:v>Inventory</x:v>
      </x:c>
      <x:c r="I71" t="n">
        <x:v>1.0624</x:v>
      </x:c>
      <x:c r="J71" t="n">
        <x:v>2.773</x:v>
      </x:c>
      <x:c r="K71" t="n">
        <x:v>2.378</x:v>
      </x:c>
      <x:c r="L71" t="n">
        <x:v>5</x:v>
      </x:c>
      <x:c r="M71" t="n">
        <x:v>3</x:v>
      </x:c>
      <x:c r="N71" t="n">
        <x:v>0.22</x:v>
      </x:c>
      <x:c r="O71" t="n">
        <x:v>0.621826</x:v>
      </x:c>
      <x:c r="P71" t="n">
        <x:v>914761968143</x:v>
      </x:c>
      <x:c r="Q71" t="n">
        <x:v>2</x:v>
      </x:c>
      <x:c r="R71" t="n">
        <x:v>0.66</x:v>
      </x:c>
      <x:c r="S71" t="n">
        <x:v>375423052265</x:v>
      </x:c>
      <x:c r="T71" t="n">
        <x:v>1</x:v>
      </x:c>
    </x:row>
    <x:row r="72">
      <x:c r="A72" t="str">
        <x:v>LN00071</x:v>
      </x:c>
      <x:c r="B72" t="str">
        <x:v>Large Corporate</x:v>
      </x:c>
      <x:c r="C72" t="str">
        <x:v>Healthcare</x:v>
      </x:c>
      <x:c r="D72" t="str">
        <x:v>Da Nang</x:v>
      </x:c>
      <x:c r="E72" t="str">
        <x:v>CCC</x:v>
      </x:c>
      <x:c r="F72" t="n">
        <x:v>850000000000</x:v>
      </x:c>
      <x:c r="G72" t="n">
        <x:v>224291529469</x:v>
      </x:c>
      <x:c r="H72" t="str">
        <x:v>Cash</x:v>
      </x:c>
      <x:c r="I72" t="n">
        <x:v>0.9062</x:v>
      </x:c>
      <x:c r="J72" t="n">
        <x:v>1.43</x:v>
      </x:c>
      <x:c r="K72" t="n">
        <x:v>3.576</x:v>
      </x:c>
      <x:c r="L72" t="n">
        <x:v>95</x:v>
      </x:c>
      <x:c r="M72" t="n">
        <x:v>3</x:v>
      </x:c>
      <x:c r="N72" t="n">
        <x:v>0.952702</x:v>
      </x:c>
      <x:c r="O72" t="n">
        <x:v>0.417175</x:v>
      </x:c>
      <x:c r="P72" t="n">
        <x:v>939716611787</x:v>
      </x:c>
      <x:c r="Q72" t="n">
        <x:v>3</x:v>
      </x:c>
      <x:c r="R72" t="n">
        <x:v>0.952702</x:v>
      </x:c>
      <x:c r="S72" t="n">
        <x:v>373484449748</x:v>
      </x:c>
      <x:c r="T72" t="n">
        <x:v>1</x:v>
      </x:c>
    </x:row>
    <x:row r="73">
      <x:c r="A73" t="str">
        <x:v>LN00072</x:v>
      </x:c>
      <x:c r="B73" t="str">
        <x:v>SME</x:v>
      </x:c>
      <x:c r="C73" t="str">
        <x:v>Construction</x:v>
      </x:c>
      <x:c r="D73" t="str">
        <x:v>Hai Phong</x:v>
      </x:c>
      <x:c r="E73" t="str">
        <x:v>B</x:v>
      </x:c>
      <x:c r="F73" t="n">
        <x:v>541000000000</x:v>
      </x:c>
      <x:c r="G73" t="n">
        <x:v>3617746664</x:v>
      </x:c>
      <x:c r="H73" t="str">
        <x:v>Real Estate</x:v>
      </x:c>
      <x:c r="I73" t="n">
        <x:v>0.5586</x:v>
      </x:c>
      <x:c r="J73" t="n">
        <x:v>1.901</x:v>
      </x:c>
      <x:c r="K73" t="n">
        <x:v>2.2</x:v>
      </x:c>
      <x:c r="L73" t="n">
        <x:v>0</x:v>
      </x:c>
      <x:c r="M73" t="n">
        <x:v>1</x:v>
      </x:c>
      <x:c r="N73" t="n">
        <x:v>0.15</x:v>
      </x:c>
      <x:c r="O73" t="n">
        <x:v>0.445505</x:v>
      </x:c>
      <x:c r="P73" t="n">
        <x:v>542447098665</x:v>
      </x:c>
      <x:c r="Q73" t="n">
        <x:v>1</x:v>
      </x:c>
      <x:c r="R73" t="n">
        <x:v>0.225</x:v>
      </x:c>
      <x:c r="S73" t="n">
        <x:v>36249398893</x:v>
      </x:c>
      <x:c r="T73" t="n">
        <x:v>0</x:v>
      </x:c>
    </x:row>
    <x:row r="74">
      <x:c r="A74" t="str">
        <x:v>LN00073</x:v>
      </x:c>
      <x:c r="B74" t="str">
        <x:v>SME</x:v>
      </x:c>
      <x:c r="C74" t="str">
        <x:v>Transport</x:v>
      </x:c>
      <x:c r="D74" t="str">
        <x:v>Can Tho</x:v>
      </x:c>
      <x:c r="E74" t="str">
        <x:v>BBB</x:v>
      </x:c>
      <x:c r="F74" t="n">
        <x:v>1853000000000</x:v>
      </x:c>
      <x:c r="G74" t="n">
        <x:v>420125891477</x:v>
      </x:c>
      <x:c r="H74" t="str">
        <x:v>Real Estate</x:v>
      </x:c>
      <x:c r="I74" t="n">
        <x:v>0.7061</x:v>
      </x:c>
      <x:c r="J74" t="n">
        <x:v>1.745</x:v>
      </x:c>
      <x:c r="K74" t="n">
        <x:v>3.783</x:v>
      </x:c>
      <x:c r="L74" t="n">
        <x:v>95</x:v>
      </x:c>
      <x:c r="M74" t="n">
        <x:v>0</x:v>
      </x:c>
      <x:c r="N74" t="n">
        <x:v>0.066932</x:v>
      </x:c>
      <x:c r="O74" t="n">
        <x:v>0.49713</x:v>
      </x:c>
      <x:c r="P74" t="n">
        <x:v>2021050356590</x:v>
      </x:c>
      <x:c r="Q74" t="n">
        <x:v>3</x:v>
      </x:c>
      <x:c r="R74" t="n">
        <x:v>0.066932</x:v>
      </x:c>
      <x:c r="S74" t="n">
        <x:v>67248032622</x:v>
      </x:c>
      <x:c r="T74" t="n">
        <x:v>1</x:v>
      </x:c>
    </x:row>
    <x:row r="75">
      <x:c r="A75" t="str">
        <x:v>LN00074</x:v>
      </x:c>
      <x:c r="B75" t="str">
        <x:v>SME</x:v>
      </x:c>
      <x:c r="C75" t="str">
        <x:v>Construction</x:v>
      </x:c>
      <x:c r="D75" t="str">
        <x:v>Binh Duong</x:v>
      </x:c>
      <x:c r="E75" t="str">
        <x:v>BBB</x:v>
      </x:c>
      <x:c r="F75" t="n">
        <x:v>303000000000</x:v>
      </x:c>
      <x:c r="G75" t="n">
        <x:v>122615023424</x:v>
      </x:c>
      <x:c r="H75" t="str">
        <x:v>Receivables</x:v>
      </x:c>
      <x:c r="I75" t="n">
        <x:v>0.8203</x:v>
      </x:c>
      <x:c r="J75" t="n">
        <x:v>1.664</x:v>
      </x:c>
      <x:c r="K75" t="n">
        <x:v>3.913</x:v>
      </x:c>
      <x:c r="L75" t="n">
        <x:v>0</x:v>
      </x:c>
      <x:c r="M75" t="n">
        <x:v>1</x:v>
      </x:c>
      <x:c r="N75" t="n">
        <x:v>0.03399</x:v>
      </x:c>
      <x:c r="O75" t="n">
        <x:v>0.537089</x:v>
      </x:c>
      <x:c r="P75" t="n">
        <x:v>352046009369</x:v>
      </x:c>
      <x:c r="Q75" t="n">
        <x:v>1</x:v>
      </x:c>
      <x:c r="R75" t="n">
        <x:v>0.050985</x:v>
      </x:c>
      <x:c r="S75" t="n">
        <x:v>6426805224</x:v>
      </x:c>
      <x:c r="T75" t="n">
        <x:v>0</x:v>
      </x:c>
    </x:row>
    <x:row r="76">
      <x:c r="A76" t="str">
        <x:v>LN00075</x:v>
      </x:c>
      <x:c r="B76" t="str">
        <x:v>SME</x:v>
      </x:c>
      <x:c r="C76" t="str">
        <x:v>Agriculture</x:v>
      </x:c>
      <x:c r="D76" t="str">
        <x:v>Da Nang</x:v>
      </x:c>
      <x:c r="E76" t="str">
        <x:v>BBB</x:v>
      </x:c>
      <x:c r="F76" t="n">
        <x:v>2876000000000</x:v>
      </x:c>
      <x:c r="G76" t="n">
        <x:v>148074692539</x:v>
      </x:c>
      <x:c r="H76" t="str">
        <x:v>Real Estate</x:v>
      </x:c>
      <x:c r="I76" t="n">
        <x:v>0.4189</x:v>
      </x:c>
      <x:c r="J76" t="n">
        <x:v>0.869</x:v>
      </x:c>
      <x:c r="K76" t="n">
        <x:v>0.54</x:v>
      </x:c>
      <x:c r="L76" t="n">
        <x:v>0</x:v>
      </x:c>
      <x:c r="M76" t="n">
        <x:v>1</x:v>
      </x:c>
      <x:c r="N76" t="n">
        <x:v>0.037878</x:v>
      </x:c>
      <x:c r="O76" t="n">
        <x:v>0.396626</x:v>
      </x:c>
      <x:c r="P76" t="n">
        <x:v>2935229877015</x:v>
      </x:c>
      <x:c r="Q76" t="n">
        <x:v>1</x:v>
      </x:c>
      <x:c r="R76" t="n">
        <x:v>0.056817</x:v>
      </x:c>
      <x:c r="S76" t="n">
        <x:v>44097233896</x:v>
      </x:c>
      <x:c r="T76" t="n">
        <x:v>0</x:v>
      </x:c>
    </x:row>
    <x:row r="77">
      <x:c r="A77" t="str">
        <x:v>LN00076</x:v>
      </x:c>
      <x:c r="B77" t="str">
        <x:v>SME</x:v>
      </x:c>
      <x:c r="C77" t="str">
        <x:v>F&amp;B</x:v>
      </x:c>
      <x:c r="D77" t="str">
        <x:v>Binh Duong</x:v>
      </x:c>
      <x:c r="E77" t="str">
        <x:v>BBB</x:v>
      </x:c>
      <x:c r="F77" t="n">
        <x:v>2815000000000</x:v>
      </x:c>
      <x:c r="G77" t="n">
        <x:v>1169191294016</x:v>
      </x:c>
      <x:c r="H77" t="str">
        <x:v>Machinery</x:v>
      </x:c>
      <x:c r="I77" t="n">
        <x:v>1.0281</x:v>
      </x:c>
      <x:c r="J77" t="n">
        <x:v>2.747</x:v>
      </x:c>
      <x:c r="K77" t="n">
        <x:v>4.282</x:v>
      </x:c>
      <x:c r="L77" t="n">
        <x:v>5</x:v>
      </x:c>
      <x:c r="M77" t="n">
        <x:v>1</x:v>
      </x:c>
      <x:c r="N77" t="n">
        <x:v>0.03718</x:v>
      </x:c>
      <x:c r="O77" t="n">
        <x:v>0.609819</x:v>
      </x:c>
      <x:c r="P77" t="n">
        <x:v>3282676517606</x:v>
      </x:c>
      <x:c r="Q77" t="n">
        <x:v>1</x:v>
      </x:c>
      <x:c r="R77" t="n">
        <x:v>0.05577</x:v>
      </x:c>
      <x:c r="S77" t="n">
        <x:v>74428291217</x:v>
      </x:c>
      <x:c r="T77" t="n">
        <x:v>0</x:v>
      </x:c>
    </x:row>
    <x:row r="78">
      <x:c r="A78" t="str">
        <x:v>LN00077</x:v>
      </x:c>
      <x:c r="B78" t="str">
        <x:v>SME</x:v>
      </x:c>
      <x:c r="C78" t="str">
        <x:v>Construction</x:v>
      </x:c>
      <x:c r="D78" t="str">
        <x:v>Da Nang</x:v>
      </x:c>
      <x:c r="E78" t="str">
        <x:v>BB</x:v>
      </x:c>
      <x:c r="F78" t="n">
        <x:v>1734000000000</x:v>
      </x:c>
      <x:c r="G78" t="n">
        <x:v>677372303762</x:v>
      </x:c>
      <x:c r="H78" t="str">
        <x:v>Unsecured</x:v>
      </x:c>
      <x:c r="I78" t="n">
        <x:v>0.7549</x:v>
      </x:c>
      <x:c r="J78" t="n">
        <x:v>0.378</x:v>
      </x:c>
      <x:c r="K78" t="n">
        <x:v>2.148</x:v>
      </x:c>
      <x:c r="L78" t="n">
        <x:v>5</x:v>
      </x:c>
      <x:c r="M78" t="n">
        <x:v>0</x:v>
      </x:c>
      <x:c r="N78" t="n">
        <x:v>0.095745</x:v>
      </x:c>
      <x:c r="O78" t="n">
        <x:v>0.714228</x:v>
      </x:c>
      <x:c r="P78" t="n">
        <x:v>2004948921504</x:v>
      </x:c>
      <x:c r="Q78" t="n">
        <x:v>1</x:v>
      </x:c>
      <x:c r="R78" t="n">
        <x:v>0.143617</x:v>
      </x:c>
      <x:c r="S78" t="n">
        <x:v>137105645845</x:v>
      </x:c>
      <x:c r="T78" t="n">
        <x:v>0</x:v>
      </x:c>
    </x:row>
    <x:row r="79">
      <x:c r="A79" t="str">
        <x:v>LN00078</x:v>
      </x:c>
      <x:c r="B79" t="str">
        <x:v>SME</x:v>
      </x:c>
      <x:c r="C79" t="str">
        <x:v>F&amp;B</x:v>
      </x:c>
      <x:c r="D79" t="str">
        <x:v>Da Nang</x:v>
      </x:c>
      <x:c r="E79" t="str">
        <x:v>A</x:v>
      </x:c>
      <x:c r="F79" t="n">
        <x:v>2299000000000</x:v>
      </x:c>
      <x:c r="G79" t="n">
        <x:v>1008217187229</x:v>
      </x:c>
      <x:c r="H79" t="str">
        <x:v>Receivables</x:v>
      </x:c>
      <x:c r="I79" t="n">
        <x:v>0.7849</x:v>
      </x:c>
      <x:c r="J79" t="n">
        <x:v>2.116</x:v>
      </x:c>
      <x:c r="K79" t="n">
        <x:v>1.445</x:v>
      </x:c>
      <x:c r="L79" t="n">
        <x:v>65</x:v>
      </x:c>
      <x:c r="M79" t="n">
        <x:v>1</x:v>
      </x:c>
      <x:c r="N79" t="n">
        <x:v>0.028</x:v>
      </x:c>
      <x:c r="O79" t="n">
        <x:v>0.524732</x:v>
      </x:c>
      <x:c r="P79" t="n">
        <x:v>2702286874891</x:v>
      </x:c>
      <x:c r="Q79" t="n">
        <x:v>2</x:v>
      </x:c>
      <x:c r="R79" t="n">
        <x:v>0.084</x:v>
      </x:c>
      <x:c r="S79" t="n">
        <x:v>119110074512</x:v>
      </x:c>
      <x:c r="T79" t="n">
        <x:v>0</x:v>
      </x:c>
    </x:row>
    <x:row r="80">
      <x:c r="A80" t="str">
        <x:v>LN00079</x:v>
      </x:c>
      <x:c r="B80" t="str">
        <x:v>Consumer Finance</x:v>
      </x:c>
      <x:c r="C80" t="str">
        <x:v>F&amp;B</x:v>
      </x:c>
      <x:c r="D80" t="str">
        <x:v>Da Nang</x:v>
      </x:c>
      <x:c r="E80" t="str">
        <x:v>BB</x:v>
      </x:c>
      <x:c r="F80" t="n">
        <x:v>27000000000</x:v>
      </x:c>
      <x:c r="G80" t="n">
        <x:v>2204077532</x:v>
      </x:c>
      <x:c r="H80" t="str">
        <x:v>Inventory</x:v>
      </x:c>
      <x:c r="I80" t="n">
        <x:v>1.0319</x:v>
      </x:c>
      <x:c r="J80" t="n">
        <x:v>2.431</x:v>
      </x:c>
      <x:c r="K80" t="n">
        <x:v>5.285</x:v>
      </x:c>
      <x:c r="L80" t="n">
        <x:v>0</x:v>
      </x:c>
      <x:c r="M80" t="n">
        <x:v>0</x:v>
      </x:c>
      <x:c r="N80" t="n">
        <x:v>0.070079</x:v>
      </x:c>
      <x:c r="O80" t="n">
        <x:v>0.611178</x:v>
      </x:c>
      <x:c r="P80" t="n">
        <x:v>28653058149</x:v>
      </x:c>
      <x:c r="Q80" t="n">
        <x:v>1</x:v>
      </x:c>
      <x:c r="R80" t="n">
        <x:v>0.105118</x:v>
      </x:c>
      <x:c r="S80" t="n">
        <x:v>1227228184</x:v>
      </x:c>
      <x:c r="T80" t="n">
        <x:v>0</x:v>
      </x:c>
    </x:row>
    <x:row r="81">
      <x:c r="A81" t="str">
        <x:v>LN00080</x:v>
      </x:c>
      <x:c r="B81" t="str">
        <x:v>Retail Mortgage</x:v>
      </x:c>
      <x:c r="C81" t="str">
        <x:v>Transport</x:v>
      </x:c>
      <x:c r="D81" t="str">
        <x:v>Hai Phong</x:v>
      </x:c>
      <x:c r="E81" t="str">
        <x:v>BBB</x:v>
      </x:c>
      <x:c r="F81" t="n">
        <x:v>2444000000000</x:v>
      </x:c>
      <x:c r="G81" t="n">
        <x:v>93435752566</x:v>
      </x:c>
      <x:c r="H81" t="str">
        <x:v>Cash</x:v>
      </x:c>
      <x:c r="I81" t="n">
        <x:v>0.8345</x:v>
      </x:c>
      <x:c r="J81" t="n">
        <x:v>2.104</x:v>
      </x:c>
      <x:c r="K81" t="n">
        <x:v>3.466</x:v>
      </x:c>
      <x:c r="L81" t="n">
        <x:v>0</x:v>
      </x:c>
      <x:c r="M81" t="n">
        <x:v>0</x:v>
      </x:c>
      <x:c r="N81" t="n">
        <x:v>0.026398</x:v>
      </x:c>
      <x:c r="O81" t="n">
        <x:v>0.392089</x:v>
      </x:c>
      <x:c r="P81" t="n">
        <x:v>2514076814424</x:v>
      </x:c>
      <x:c r="Q81" t="n">
        <x:v>1</x:v>
      </x:c>
      <x:c r="R81" t="n">
        <x:v>0.039597</x:v>
      </x:c>
      <x:c r="S81" t="n">
        <x:v>26021432285</x:v>
      </x:c>
      <x:c r="T81" t="n">
        <x:v>0</x:v>
      </x:c>
    </x:row>
    <x:row r="82">
      <x:c r="A82" t="str">
        <x:v>LN00081</x:v>
      </x:c>
      <x:c r="B82" t="str">
        <x:v>Large Corporate</x:v>
      </x:c>
      <x:c r="C82" t="str">
        <x:v>Agriculture</x:v>
      </x:c>
      <x:c r="D82" t="str">
        <x:v>Can Tho</x:v>
      </x:c>
      <x:c r="E82" t="str">
        <x:v>BBB</x:v>
      </x:c>
      <x:c r="F82" t="n">
        <x:v>456000000000</x:v>
      </x:c>
      <x:c r="G82" t="n">
        <x:v>58122175660</x:v>
      </x:c>
      <x:c r="H82" t="str">
        <x:v>Receivables</x:v>
      </x:c>
      <x:c r="I82" t="n">
        <x:v>0.7497</x:v>
      </x:c>
      <x:c r="J82" t="n">
        <x:v>1.228</x:v>
      </x:c>
      <x:c r="K82" t="n">
        <x:v>2.988</x:v>
      </x:c>
      <x:c r="L82" t="n">
        <x:v>0</x:v>
      </x:c>
      <x:c r="M82" t="n">
        <x:v>0</x:v>
      </x:c>
      <x:c r="N82" t="n">
        <x:v>0.025</x:v>
      </x:c>
      <x:c r="O82" t="n">
        <x:v>0.512388</x:v>
      </x:c>
      <x:c r="P82" t="n">
        <x:v>479248870264</x:v>
      </x:c>
      <x:c r="Q82" t="n">
        <x:v>1</x:v>
      </x:c>
      <x:c r="R82" t="n">
        <x:v>0.0375</x:v>
      </x:c>
      <x:c r="S82" t="n">
        <x:v>6139035081</x:v>
      </x:c>
      <x:c r="T82" t="n">
        <x:v>0</x:v>
      </x:c>
    </x:row>
    <x:row r="83">
      <x:c r="A83" t="str">
        <x:v>LN00082</x:v>
      </x:c>
      <x:c r="B83" t="str">
        <x:v>Large Corporate</x:v>
      </x:c>
      <x:c r="C83" t="str">
        <x:v>Transport</x:v>
      </x:c>
      <x:c r="D83" t="str">
        <x:v>Hai Phong</x:v>
      </x:c>
      <x:c r="E83" t="str">
        <x:v>BBB</x:v>
      </x:c>
      <x:c r="F83" t="n">
        <x:v>1765000000000</x:v>
      </x:c>
      <x:c r="G83" t="n">
        <x:v>139545596389</x:v>
      </x:c>
      <x:c r="H83" t="str">
        <x:v>Receivables</x:v>
      </x:c>
      <x:c r="I83" t="n">
        <x:v>1.0154</x:v>
      </x:c>
      <x:c r="J83" t="n">
        <x:v>1.174</x:v>
      </x:c>
      <x:c r="K83" t="n">
        <x:v>4.693</x:v>
      </x:c>
      <x:c r="L83" t="n">
        <x:v>15</x:v>
      </x:c>
      <x:c r="M83" t="n">
        <x:v>0</x:v>
      </x:c>
      <x:c r="N83" t="n">
        <x:v>0.03685</x:v>
      </x:c>
      <x:c r="O83" t="n">
        <x:v>0.605402</x:v>
      </x:c>
      <x:c r="P83" t="n">
        <x:v>1820818238555</x:v>
      </x:c>
      <x:c r="Q83" t="n">
        <x:v>1</x:v>
      </x:c>
      <x:c r="R83" t="n">
        <x:v>0.055275</x:v>
      </x:c>
      <x:c r="S83" t="n">
        <x:v>40620478631</x:v>
      </x:c>
      <x:c r="T83" t="n">
        <x:v>0</x:v>
      </x:c>
    </x:row>
    <x:row r="84">
      <x:c r="A84" t="str">
        <x:v>LN00083</x:v>
      </x:c>
      <x:c r="B84" t="str">
        <x:v>Retail Mortgage</x:v>
      </x:c>
      <x:c r="C84" t="str">
        <x:v>Construction</x:v>
      </x:c>
      <x:c r="D84" t="str">
        <x:v>Hai Phong</x:v>
      </x:c>
      <x:c r="E84" t="str">
        <x:v>AAA</x:v>
      </x:c>
      <x:c r="F84" t="n">
        <x:v>1760000000000</x:v>
      </x:c>
      <x:c r="G84" t="n">
        <x:v>454132547261</x:v>
      </x:c>
      <x:c r="H84" t="str">
        <x:v>Cash</x:v>
      </x:c>
      <x:c r="I84" t="n">
        <x:v>0.7976</x:v>
      </x:c>
      <x:c r="J84" t="n">
        <x:v>1.246</x:v>
      </x:c>
      <x:c r="K84" t="n">
        <x:v>3.415</x:v>
      </x:c>
      <x:c r="L84" t="n">
        <x:v>0</x:v>
      </x:c>
      <x:c r="M84" t="n">
        <x:v>1</x:v>
      </x:c>
      <x:c r="N84" t="n">
        <x:v>0.0026</x:v>
      </x:c>
      <x:c r="O84" t="n">
        <x:v>0.379174</x:v>
      </x:c>
      <x:c r="P84" t="n">
        <x:v>2100599410445</x:v>
      </x:c>
      <x:c r="Q84" t="n">
        <x:v>1</x:v>
      </x:c>
      <x:c r="R84" t="n">
        <x:v>0.0039</x:v>
      </x:c>
      <x:c r="S84" t="n">
        <x:v>2070640850</x:v>
      </x:c>
      <x:c r="T84" t="n">
        <x:v>0</x:v>
      </x:c>
    </x:row>
    <x:row r="85">
      <x:c r="A85" t="str">
        <x:v>LN00084</x:v>
      </x:c>
      <x:c r="B85" t="str">
        <x:v>SME</x:v>
      </x:c>
      <x:c r="C85" t="str">
        <x:v>Retail</x:v>
      </x:c>
      <x:c r="D85" t="str">
        <x:v>Can Tho</x:v>
      </x:c>
      <x:c r="E85" t="str">
        <x:v>B</x:v>
      </x:c>
      <x:c r="F85" t="n">
        <x:v>2148000000000</x:v>
      </x:c>
      <x:c r="G85" t="n">
        <x:v>76020274760</x:v>
      </x:c>
      <x:c r="H85" t="str">
        <x:v>Receivables</x:v>
      </x:c>
      <x:c r="I85" t="n">
        <x:v>1.1706</x:v>
      </x:c>
      <x:c r="J85" t="n">
        <x:v>2.425</x:v>
      </x:c>
      <x:c r="K85" t="n">
        <x:v>1.516</x:v>
      </x:c>
      <x:c r="L85" t="n">
        <x:v>0</x:v>
      </x:c>
      <x:c r="M85" t="n">
        <x:v>0</x:v>
      </x:c>
      <x:c r="N85" t="n">
        <x:v>0.12</x:v>
      </x:c>
      <x:c r="O85" t="n">
        <x:v>0.659714</x:v>
      </x:c>
      <x:c r="P85" t="n">
        <x:v>2178408109904</x:v>
      </x:c>
      <x:c r="Q85" t="n">
        <x:v>1</x:v>
      </x:c>
      <x:c r="R85" t="n">
        <x:v>0.18</x:v>
      </x:c>
      <x:c r="S85" t="n">
        <x:v>172455077169</x:v>
      </x:c>
      <x:c r="T85" t="n">
        <x:v>0</x:v>
      </x:c>
    </x:row>
    <x:row r="86">
      <x:c r="A86" t="str">
        <x:v>LN00085</x:v>
      </x:c>
      <x:c r="B86" t="str">
        <x:v>Large Corporate</x:v>
      </x:c>
      <x:c r="C86" t="str">
        <x:v>Manufacturing</x:v>
      </x:c>
      <x:c r="D86" t="str">
        <x:v>Dong Nai</x:v>
      </x:c>
      <x:c r="E86" t="str">
        <x:v>BBB</x:v>
      </x:c>
      <x:c r="F86" t="n">
        <x:v>1050000000000</x:v>
      </x:c>
      <x:c r="G86" t="n">
        <x:v>93210926834</x:v>
      </x:c>
      <x:c r="H86" t="str">
        <x:v>Machinery</x:v>
      </x:c>
      <x:c r="I86" t="n">
        <x:v>0.5796</x:v>
      </x:c>
      <x:c r="J86" t="n">
        <x:v>1.242</x:v>
      </x:c>
      <x:c r="K86" t="n">
        <x:v>2.711</x:v>
      </x:c>
      <x:c r="L86" t="n">
        <x:v>15</x:v>
      </x:c>
      <x:c r="M86" t="n">
        <x:v>1</x:v>
      </x:c>
      <x:c r="N86" t="n">
        <x:v>0.0375</x:v>
      </x:c>
      <x:c r="O86" t="n">
        <x:v>0.452853</x:v>
      </x:c>
      <x:c r="P86" t="n">
        <x:v>1087284370733</x:v>
      </x:c>
      <x:c r="Q86" t="n">
        <x:v>1</x:v>
      </x:c>
      <x:c r="R86" t="n">
        <x:v>0.05625</x:v>
      </x:c>
      <x:c r="S86" t="n">
        <x:v>18464267560</x:v>
      </x:c>
      <x:c r="T86" t="n">
        <x:v>0</x:v>
      </x:c>
    </x:row>
    <x:row r="87">
      <x:c r="A87" t="str">
        <x:v>LN00086</x:v>
      </x:c>
      <x:c r="B87" t="str">
        <x:v>Large Corporate</x:v>
      </x:c>
      <x:c r="C87" t="str">
        <x:v>Healthcare</x:v>
      </x:c>
      <x:c r="D87" t="str">
        <x:v>Hanoi</x:v>
      </x:c>
      <x:c r="E87" t="str">
        <x:v>BB</x:v>
      </x:c>
      <x:c r="F87" t="n">
        <x:v>1296000000000</x:v>
      </x:c>
      <x:c r="G87" t="n">
        <x:v>88038356492</x:v>
      </x:c>
      <x:c r="H87" t="str">
        <x:v>Unsecured</x:v>
      </x:c>
      <x:c r="I87" t="n">
        <x:v>0.6189</x:v>
      </x:c>
      <x:c r="J87" t="n">
        <x:v>2.34</x:v>
      </x:c>
      <x:c r="K87" t="n">
        <x:v>3.829</x:v>
      </x:c>
      <x:c r="L87" t="n">
        <x:v>0</x:v>
      </x:c>
      <x:c r="M87" t="n">
        <x:v>0</x:v>
      </x:c>
      <x:c r="N87" t="n">
        <x:v>0.060473</x:v>
      </x:c>
      <x:c r="O87" t="n">
        <x:v>0.66662</x:v>
      </x:c>
      <x:c r="P87" t="n">
        <x:v>1331215342596</x:v>
      </x:c>
      <x:c r="Q87" t="n">
        <x:v>1</x:v>
      </x:c>
      <x:c r="R87" t="n">
        <x:v>0.09071</x:v>
      </x:c>
      <x:c r="S87" t="n">
        <x:v>53665096267</x:v>
      </x:c>
      <x:c r="T87" t="n">
        <x:v>0</x:v>
      </x:c>
    </x:row>
    <x:row r="88">
      <x:c r="A88" t="str">
        <x:v>LN00087</x:v>
      </x:c>
      <x:c r="B88" t="str">
        <x:v>Large Corporate</x:v>
      </x:c>
      <x:c r="C88" t="str">
        <x:v>F&amp;B</x:v>
      </x:c>
      <x:c r="D88" t="str">
        <x:v>HCMC</x:v>
      </x:c>
      <x:c r="E88" t="str">
        <x:v>AA</x:v>
      </x:c>
      <x:c r="F88" t="n">
        <x:v>2521000000000</x:v>
      </x:c>
      <x:c r="G88" t="n">
        <x:v>673953850243</x:v>
      </x:c>
      <x:c r="H88" t="str">
        <x:v>Real Estate</x:v>
      </x:c>
      <x:c r="I88" t="n">
        <x:v>0.4529</x:v>
      </x:c>
      <x:c r="J88" t="n">
        <x:v>2.281</x:v>
      </x:c>
      <x:c r="K88" t="n">
        <x:v>5.4</x:v>
      </x:c>
      <x:c r="L88" t="n">
        <x:v>0</x:v>
      </x:c>
      <x:c r="M88" t="n">
        <x:v>0</x:v>
      </x:c>
      <x:c r="N88" t="n">
        <x:v>0.00644</x:v>
      </x:c>
      <x:c r="O88" t="n">
        <x:v>0.408505</x:v>
      </x:c>
      <x:c r="P88" t="n">
        <x:v>2790581540097</x:v>
      </x:c>
      <x:c r="Q88" t="n">
        <x:v>1</x:v>
      </x:c>
      <x:c r="R88" t="n">
        <x:v>0.00966</x:v>
      </x:c>
      <x:c r="S88" t="n">
        <x:v>7341502841</x:v>
      </x:c>
      <x:c r="T88" t="n">
        <x:v>0</x:v>
      </x:c>
    </x:row>
    <x:row r="89">
      <x:c r="A89" t="str">
        <x:v>LN00088</x:v>
      </x:c>
      <x:c r="B89" t="str">
        <x:v>Large Corporate</x:v>
      </x:c>
      <x:c r="C89" t="str">
        <x:v>Technology</x:v>
      </x:c>
      <x:c r="D89" t="str">
        <x:v>Hai Phong</x:v>
      </x:c>
      <x:c r="E89" t="str">
        <x:v>CCC</x:v>
      </x:c>
      <x:c r="F89" t="n">
        <x:v>2927000000000</x:v>
      </x:c>
      <x:c r="G89" t="n">
        <x:v>111074116246</x:v>
      </x:c>
      <x:c r="H89" t="str">
        <x:v>Inventory</x:v>
      </x:c>
      <x:c r="I89" t="n">
        <x:v>0.9616</x:v>
      </x:c>
      <x:c r="J89" t="n">
        <x:v>1.706</x:v>
      </x:c>
      <x:c r="K89" t="n">
        <x:v>2.886</x:v>
      </x:c>
      <x:c r="L89" t="n">
        <x:v>0</x:v>
      </x:c>
      <x:c r="M89" t="n">
        <x:v>0</x:v>
      </x:c>
      <x:c r="N89" t="n">
        <x:v>0.28</x:v>
      </x:c>
      <x:c r="O89" t="n">
        <x:v>0.586573</x:v>
      </x:c>
      <x:c r="P89" t="n">
        <x:v>2971429646498</x:v>
      </x:c>
      <x:c r="Q89" t="n">
        <x:v>1</x:v>
      </x:c>
      <x:c r="R89" t="n">
        <x:v>0.42</x:v>
      </x:c>
      <x:c r="S89" t="n">
        <x:v>488028561140</x:v>
      </x:c>
      <x:c r="T89" t="n">
        <x:v>0</x:v>
      </x:c>
    </x:row>
    <x:row r="90">
      <x:c r="A90" t="str">
        <x:v>LN00089</x:v>
      </x:c>
      <x:c r="B90" t="str">
        <x:v>SME</x:v>
      </x:c>
      <x:c r="C90" t="str">
        <x:v>Transport</x:v>
      </x:c>
      <x:c r="D90" t="str">
        <x:v>Dong Nai</x:v>
      </x:c>
      <x:c r="E90" t="str">
        <x:v>BBB</x:v>
      </x:c>
      <x:c r="F90" t="n">
        <x:v>2586000000000</x:v>
      </x:c>
      <x:c r="G90" t="n">
        <x:v>753269243905</x:v>
      </x:c>
      <x:c r="H90" t="str">
        <x:v>Real Estate</x:v>
      </x:c>
      <x:c r="I90" t="n">
        <x:v>0.7316</x:v>
      </x:c>
      <x:c r="J90" t="n">
        <x:v>1.899</x:v>
      </x:c>
      <x:c r="K90" t="n">
        <x:v>2.702</x:v>
      </x:c>
      <x:c r="L90" t="n">
        <x:v>35</x:v>
      </x:c>
      <x:c r="M90" t="n">
        <x:v>1</x:v>
      </x:c>
      <x:c r="N90" t="n">
        <x:v>0.045833</x:v>
      </x:c>
      <x:c r="O90" t="n">
        <x:v>0.506054</x:v>
      </x:c>
      <x:c r="P90" t="n">
        <x:v>2887307697562</x:v>
      </x:c>
      <x:c r="Q90" t="n">
        <x:v>2</x:v>
      </x:c>
      <x:c r="R90" t="n">
        <x:v>0.1375</x:v>
      </x:c>
      <x:c r="S90" t="n">
        <x:v>200906039522</x:v>
      </x:c>
      <x:c r="T90" t="n">
        <x:v>0</x:v>
      </x:c>
    </x:row>
    <x:row r="91">
      <x:c r="A91" t="str">
        <x:v>LN00090</x:v>
      </x:c>
      <x:c r="B91" t="str">
        <x:v>Large Corporate</x:v>
      </x:c>
      <x:c r="C91" t="str">
        <x:v>Transport</x:v>
      </x:c>
      <x:c r="D91" t="str">
        <x:v>Hanoi</x:v>
      </x:c>
      <x:c r="E91" t="str">
        <x:v>A</x:v>
      </x:c>
      <x:c r="F91" t="n">
        <x:v>2862000000000</x:v>
      </x:c>
      <x:c r="G91" t="n">
        <x:v>852763868609</x:v>
      </x:c>
      <x:c r="H91" t="str">
        <x:v>Unsecured</x:v>
      </x:c>
      <x:c r="I91" t="n">
        <x:v>0.5616</x:v>
      </x:c>
      <x:c r="J91" t="n">
        <x:v>2.396</x:v>
      </x:c>
      <x:c r="K91" t="n">
        <x:v>4.793</x:v>
      </x:c>
      <x:c r="L91" t="n">
        <x:v>5</x:v>
      </x:c>
      <x:c r="M91" t="n">
        <x:v>0</x:v>
      </x:c>
      <x:c r="N91" t="n">
        <x:v>0.015582</x:v>
      </x:c>
      <x:c r="O91" t="n">
        <x:v>0.646549</x:v>
      </x:c>
      <x:c r="P91" t="n">
        <x:v>3203105547443</x:v>
      </x:c>
      <x:c r="Q91" t="n">
        <x:v>1</x:v>
      </x:c>
      <x:c r="R91" t="n">
        <x:v>0.023373</x:v>
      </x:c>
      <x:c r="S91" t="n">
        <x:v>32270319858</x:v>
      </x:c>
      <x:c r="T91" t="n">
        <x:v>0</x:v>
      </x:c>
    </x:row>
    <x:row r="92">
      <x:c r="A92" t="str">
        <x:v>LN00091</x:v>
      </x:c>
      <x:c r="B92" t="str">
        <x:v>SME</x:v>
      </x:c>
      <x:c r="C92" t="str">
        <x:v>Energy</x:v>
      </x:c>
      <x:c r="D92" t="str">
        <x:v>Can Tho</x:v>
      </x:c>
      <x:c r="E92" t="str">
        <x:v>BB</x:v>
      </x:c>
      <x:c r="F92" t="n">
        <x:v>1487000000000</x:v>
      </x:c>
      <x:c r="G92" t="n">
        <x:v>206677730783</x:v>
      </x:c>
      <x:c r="H92" t="str">
        <x:v>Real Estate</x:v>
      </x:c>
      <x:c r="I92" t="n">
        <x:v>0.8244</x:v>
      </x:c>
      <x:c r="J92" t="n">
        <x:v>1.648</x:v>
      </x:c>
      <x:c r="K92" t="n">
        <x:v>3.293</x:v>
      </x:c>
      <x:c r="L92" t="n">
        <x:v>0</x:v>
      </x:c>
      <x:c r="M92" t="n">
        <x:v>1</x:v>
      </x:c>
      <x:c r="N92" t="n">
        <x:v>0.070681</x:v>
      </x:c>
      <x:c r="O92" t="n">
        <x:v>0.538525</x:v>
      </x:c>
      <x:c r="P92" t="n">
        <x:v>1569671092313</x:v>
      </x:c>
      <x:c r="Q92" t="n">
        <x:v>1</x:v>
      </x:c>
      <x:c r="R92" t="n">
        <x:v>0.106022</x:v>
      </x:c>
      <x:c r="S92" t="n">
        <x:v>59747495302</x:v>
      </x:c>
      <x:c r="T92" t="n">
        <x:v>0</x:v>
      </x:c>
    </x:row>
    <x:row r="93">
      <x:c r="A93" t="str">
        <x:v>LN00092</x:v>
      </x:c>
      <x:c r="B93" t="str">
        <x:v>Large Corporate</x:v>
      </x:c>
      <x:c r="C93" t="str">
        <x:v>Agriculture</x:v>
      </x:c>
      <x:c r="D93" t="str">
        <x:v>Da Nang</x:v>
      </x:c>
      <x:c r="E93" t="str">
        <x:v>BB</x:v>
      </x:c>
      <x:c r="F93" t="n">
        <x:v>2533000000000</x:v>
      </x:c>
      <x:c r="G93" t="n">
        <x:v>149376249873</x:v>
      </x:c>
      <x:c r="H93" t="str">
        <x:v>Inventory</x:v>
      </x:c>
      <x:c r="I93" t="n">
        <x:v>0.85</x:v>
      </x:c>
      <x:c r="J93" t="n">
        <x:v>1.566</x:v>
      </x:c>
      <x:c r="K93" t="n">
        <x:v>3.783</x:v>
      </x:c>
      <x:c r="L93" t="n">
        <x:v>15</x:v>
      </x:c>
      <x:c r="M93" t="n">
        <x:v>0</x:v>
      </x:c>
      <x:c r="N93" t="n">
        <x:v>0.073916</x:v>
      </x:c>
      <x:c r="O93" t="n">
        <x:v>0.547494</x:v>
      </x:c>
      <x:c r="P93" t="n">
        <x:v>2592750499949</x:v>
      </x:c>
      <x:c r="Q93" t="n">
        <x:v>1</x:v>
      </x:c>
      <x:c r="R93" t="n">
        <x:v>0.110873</x:v>
      </x:c>
      <x:c r="S93" t="n">
        <x:v>104924206908</x:v>
      </x:c>
      <x:c r="T93" t="n">
        <x:v>0</x:v>
      </x:c>
    </x:row>
    <x:row r="94">
      <x:c r="A94" t="str">
        <x:v>LN00093</x:v>
      </x:c>
      <x:c r="B94" t="str">
        <x:v>Consumer Finance</x:v>
      </x:c>
      <x:c r="C94" t="str">
        <x:v>Retail</x:v>
      </x:c>
      <x:c r="D94" t="str">
        <x:v>Hai Phong</x:v>
      </x:c>
      <x:c r="E94" t="str">
        <x:v>BB</x:v>
      </x:c>
      <x:c r="F94" t="n">
        <x:v>1169000000000</x:v>
      </x:c>
      <x:c r="G94" t="n">
        <x:v>395795372406</x:v>
      </x:c>
      <x:c r="H94" t="str">
        <x:v>Cash</x:v>
      </x:c>
      <x:c r="I94" t="n">
        <x:v>0.8808</x:v>
      </x:c>
      <x:c r="J94" t="n">
        <x:v>1.407</x:v>
      </x:c>
      <x:c r="K94" t="n">
        <x:v>3.447</x:v>
      </x:c>
      <x:c r="L94" t="n">
        <x:v>0</x:v>
      </x:c>
      <x:c r="M94" t="n">
        <x:v>0</x:v>
      </x:c>
      <x:c r="N94" t="n">
        <x:v>0.057951</x:v>
      </x:c>
      <x:c r="O94" t="n">
        <x:v>0.408273</x:v>
      </x:c>
      <x:c r="P94" t="n">
        <x:v>1465846529304</x:v>
      </x:c>
      <x:c r="Q94" t="n">
        <x:v>1</x:v>
      </x:c>
      <x:c r="R94" t="n">
        <x:v>0.086927</x:v>
      </x:c>
      <x:c r="S94" t="n">
        <x:v>34681843146</x:v>
      </x:c>
      <x:c r="T94" t="n">
        <x:v>0</x:v>
      </x:c>
    </x:row>
    <x:row r="95">
      <x:c r="A95" t="str">
        <x:v>LN00094</x:v>
      </x:c>
      <x:c r="B95" t="str">
        <x:v>SME</x:v>
      </x:c>
      <x:c r="C95" t="str">
        <x:v>Energy</x:v>
      </x:c>
      <x:c r="D95" t="str">
        <x:v>Can Tho</x:v>
      </x:c>
      <x:c r="E95" t="str">
        <x:v>B</x:v>
      </x:c>
      <x:c r="F95" t="n">
        <x:v>665000000000</x:v>
      </x:c>
      <x:c r="G95" t="n">
        <x:v>244454703444</x:v>
      </x:c>
      <x:c r="H95" t="str">
        <x:v>Receivables</x:v>
      </x:c>
      <x:c r="I95" t="n">
        <x:v>0.4271</x:v>
      </x:c>
      <x:c r="J95" t="n">
        <x:v>1.895</x:v>
      </x:c>
      <x:c r="K95" t="n">
        <x:v>2.475</x:v>
      </x:c>
      <x:c r="L95" t="n">
        <x:v>35</x:v>
      </x:c>
      <x:c r="M95" t="n">
        <x:v>0</x:v>
      </x:c>
      <x:c r="N95" t="n">
        <x:v>0.19</x:v>
      </x:c>
      <x:c r="O95" t="n">
        <x:v>0.399485</x:v>
      </x:c>
      <x:c r="P95" t="n">
        <x:v>762781881377</x:v>
      </x:c>
      <x:c r="Q95" t="n">
        <x:v>2</x:v>
      </x:c>
      <x:c r="R95" t="n">
        <x:v>0.57</x:v>
      </x:c>
      <x:c r="S95" t="n">
        <x:v>173690392711</x:v>
      </x:c>
      <x:c r="T95" t="n">
        <x:v>0</x:v>
      </x:c>
    </x:row>
    <x:row r="96">
      <x:c r="A96" t="str">
        <x:v>LN00095</x:v>
      </x:c>
      <x:c r="B96" t="str">
        <x:v>Retail Mortgage</x:v>
      </x:c>
      <x:c r="C96" t="str">
        <x:v>Construction</x:v>
      </x:c>
      <x:c r="D96" t="str">
        <x:v>Hai Phong</x:v>
      </x:c>
      <x:c r="E96" t="str">
        <x:v>A</x:v>
      </x:c>
      <x:c r="F96" t="n">
        <x:v>1842000000000</x:v>
      </x:c>
      <x:c r="G96" t="n">
        <x:v>750408316622</x:v>
      </x:c>
      <x:c r="H96" t="str">
        <x:v>Inventory</x:v>
      </x:c>
      <x:c r="I96" t="n">
        <x:v>0.979</x:v>
      </x:c>
      <x:c r="J96" t="n">
        <x:v>2.271</x:v>
      </x:c>
      <x:c r="K96" t="n">
        <x:v>4.136</x:v>
      </x:c>
      <x:c r="L96" t="n">
        <x:v>0</x:v>
      </x:c>
      <x:c r="M96" t="n">
        <x:v>0</x:v>
      </x:c>
      <x:c r="N96" t="n">
        <x:v>0.013636</x:v>
      </x:c>
      <x:c r="O96" t="n">
        <x:v>0.592641</x:v>
      </x:c>
      <x:c r="P96" t="n">
        <x:v>2404806237466</x:v>
      </x:c>
      <x:c r="Q96" t="n">
        <x:v>1</x:v>
      </x:c>
      <x:c r="R96" t="n">
        <x:v>0.020455</x:v>
      </x:c>
      <x:c r="S96" t="n">
        <x:v>19434391272</x:v>
      </x:c>
      <x:c r="T96" t="n">
        <x:v>0</x:v>
      </x:c>
    </x:row>
    <x:row r="97">
      <x:c r="A97" t="str">
        <x:v>LN00096</x:v>
      </x:c>
      <x:c r="B97" t="str">
        <x:v>Large Corporate</x:v>
      </x:c>
      <x:c r="C97" t="str">
        <x:v>Transport</x:v>
      </x:c>
      <x:c r="D97" t="str">
        <x:v>Hai Phong</x:v>
      </x:c>
      <x:c r="E97" t="str">
        <x:v>CCC</x:v>
      </x:c>
      <x:c r="F97" t="n">
        <x:v>407000000000</x:v>
      </x:c>
      <x:c r="G97" t="n">
        <x:v>153695137076</x:v>
      </x:c>
      <x:c r="H97" t="str">
        <x:v>Inventory</x:v>
      </x:c>
      <x:c r="I97" t="n">
        <x:v>0.9061</x:v>
      </x:c>
      <x:c r="J97" t="n">
        <x:v>1.227</x:v>
      </x:c>
      <x:c r="K97" t="n">
        <x:v>1.195</x:v>
      </x:c>
      <x:c r="L97" t="n">
        <x:v>15</x:v>
      </x:c>
      <x:c r="M97" t="n">
        <x:v>0</x:v>
      </x:c>
      <x:c r="N97" t="n">
        <x:v>0.35</x:v>
      </x:c>
      <x:c r="O97" t="n">
        <x:v>0.567125</x:v>
      </x:c>
      <x:c r="P97" t="n">
        <x:v>468478054830</x:v>
      </x:c>
      <x:c r="Q97" t="n">
        <x:v>1</x:v>
      </x:c>
      <x:c r="R97" t="n">
        <x:v>0.525</x:v>
      </x:c>
      <x:c r="S97" t="n">
        <x:v>92989995683</x:v>
      </x:c>
      <x:c r="T97" t="n">
        <x:v>0</x:v>
      </x:c>
    </x:row>
    <x:row r="98">
      <x:c r="A98" t="str">
        <x:v>LN00097</x:v>
      </x:c>
      <x:c r="B98" t="str">
        <x:v>Large Corporate</x:v>
      </x:c>
      <x:c r="C98" t="str">
        <x:v>Construction</x:v>
      </x:c>
      <x:c r="D98" t="str">
        <x:v>Can Tho</x:v>
      </x:c>
      <x:c r="E98" t="str">
        <x:v>BB</x:v>
      </x:c>
      <x:c r="F98" t="n">
        <x:v>614000000000</x:v>
      </x:c>
      <x:c r="G98" t="n">
        <x:v>151634613016</x:v>
      </x:c>
      <x:c r="H98" t="str">
        <x:v>Machinery</x:v>
      </x:c>
      <x:c r="I98" t="n">
        <x:v>0.8151</x:v>
      </x:c>
      <x:c r="J98" t="n">
        <x:v>1.133</x:v>
      </x:c>
      <x:c r="K98" t="n">
        <x:v>4.084</x:v>
      </x:c>
      <x:c r="L98" t="n">
        <x:v>0</x:v>
      </x:c>
      <x:c r="M98" t="n">
        <x:v>1</x:v>
      </x:c>
      <x:c r="N98" t="n">
        <x:v>0.078845</x:v>
      </x:c>
      <x:c r="O98" t="n">
        <x:v>0.535276</x:v>
      </x:c>
      <x:c r="P98" t="n">
        <x:v>674653845206</x:v>
      </x:c>
      <x:c r="Q98" t="n">
        <x:v>1</x:v>
      </x:c>
      <x:c r="R98" t="n">
        <x:v>0.118267</x:v>
      </x:c>
      <x:c r="S98" t="n">
        <x:v>28472950820</x:v>
      </x:c>
      <x:c r="T98" t="n">
        <x:v>0</x:v>
      </x:c>
    </x:row>
    <x:row r="99">
      <x:c r="A99" t="str">
        <x:v>LN00098</x:v>
      </x:c>
      <x:c r="B99" t="str">
        <x:v>SME</x:v>
      </x:c>
      <x:c r="C99" t="str">
        <x:v>Healthcare</x:v>
      </x:c>
      <x:c r="D99" t="str">
        <x:v>Da Nang</x:v>
      </x:c>
      <x:c r="E99" t="str">
        <x:v>B</x:v>
      </x:c>
      <x:c r="F99" t="n">
        <x:v>2112000000000</x:v>
      </x:c>
      <x:c r="G99" t="n">
        <x:v>546525103637</x:v>
      </x:c>
      <x:c r="H99" t="str">
        <x:v>Unsecured</x:v>
      </x:c>
      <x:c r="I99" t="n">
        <x:v>0.9094</x:v>
      </x:c>
      <x:c r="J99" t="n">
        <x:v>1.71</x:v>
      </x:c>
      <x:c r="K99" t="n">
        <x:v>2.061</x:v>
      </x:c>
      <x:c r="L99" t="n">
        <x:v>0</x:v>
      </x:c>
      <x:c r="M99" t="n">
        <x:v>0</x:v>
      </x:c>
      <x:c r="N99" t="n">
        <x:v>0.12</x:v>
      </x:c>
      <x:c r="O99" t="n">
        <x:v>0.768276</x:v>
      </x:c>
      <x:c r="P99" t="n">
        <x:v>2330610041454</x:v>
      </x:c>
      <x:c r="Q99" t="n">
        <x:v>1</x:v>
      </x:c>
      <x:c r="R99" t="n">
        <x:v>0.18</x:v>
      </x:c>
      <x:c r="S99" t="n">
        <x:v>214866196139</x:v>
      </x:c>
      <x:c r="T99" t="n">
        <x:v>0</x:v>
      </x:c>
    </x:row>
    <x:row r="100">
      <x:c r="A100" t="str">
        <x:v>LN00099</x:v>
      </x:c>
      <x:c r="B100" t="str">
        <x:v>SME</x:v>
      </x:c>
      <x:c r="C100" t="str">
        <x:v>Agriculture</x:v>
      </x:c>
      <x:c r="D100" t="str">
        <x:v>Can Tho</x:v>
      </x:c>
      <x:c r="E100" t="str">
        <x:v>AA</x:v>
      </x:c>
      <x:c r="F100" t="n">
        <x:v>2271000000000</x:v>
      </x:c>
      <x:c r="G100" t="n">
        <x:v>20780644311</x:v>
      </x:c>
      <x:c r="H100" t="str">
        <x:v>Cash</x:v>
      </x:c>
      <x:c r="I100" t="n">
        <x:v>0.8918</x:v>
      </x:c>
      <x:c r="J100" t="n">
        <x:v>1.683</x:v>
      </x:c>
      <x:c r="K100" t="n">
        <x:v>2.174</x:v>
      </x:c>
      <x:c r="L100" t="n">
        <x:v>0</x:v>
      </x:c>
      <x:c r="M100" t="n">
        <x:v>0</x:v>
      </x:c>
      <x:c r="N100" t="n">
        <x:v>0.005</x:v>
      </x:c>
      <x:c r="O100" t="n">
        <x:v>0.412113</x:v>
      </x:c>
      <x:c r="P100" t="n">
        <x:v>2279312257724</x:v>
      </x:c>
      <x:c r="Q100" t="n">
        <x:v>1</x:v>
      </x:c>
      <x:c r="R100" t="n">
        <x:v>0.0075</x:v>
      </x:c>
      <x:c r="S100" t="n">
        <x:v>4696666705</x:v>
      </x:c>
      <x:c r="T100" t="n">
        <x:v>0</x:v>
      </x:c>
    </x:row>
    <x:row r="101">
      <x:c r="A101" t="str">
        <x:v>LN00100</x:v>
      </x:c>
      <x:c r="B101" t="str">
        <x:v>Large Corporate</x:v>
      </x:c>
      <x:c r="C101" t="str">
        <x:v>Transport</x:v>
      </x:c>
      <x:c r="D101" t="str">
        <x:v>Hanoi</x:v>
      </x:c>
      <x:c r="E101" t="str">
        <x:v>BB</x:v>
      </x:c>
      <x:c r="F101" t="n">
        <x:v>2238000000000</x:v>
      </x:c>
      <x:c r="G101" t="n">
        <x:v>340950943712</x:v>
      </x:c>
      <x:c r="H101" t="str">
        <x:v>Inventory</x:v>
      </x:c>
      <x:c r="I101" t="n">
        <x:v>0.662</x:v>
      </x:c>
      <x:c r="J101" t="n">
        <x:v>1.154</x:v>
      </x:c>
      <x:c r="K101" t="n">
        <x:v>1.139</x:v>
      </x:c>
      <x:c r="L101" t="n">
        <x:v>0</x:v>
      </x:c>
      <x:c r="M101" t="n">
        <x:v>0</x:v>
      </x:c>
      <x:c r="N101" t="n">
        <x:v>0.057036</x:v>
      </x:c>
      <x:c r="O101" t="n">
        <x:v>0.481713</x:v>
      </x:c>
      <x:c r="P101" t="n">
        <x:v>2374380377484</x:v>
      </x:c>
      <x:c r="Q101" t="n">
        <x:v>1</x:v>
      </x:c>
      <x:c r="R101" t="n">
        <x:v>0.085554</x:v>
      </x:c>
      <x:c r="S101" t="n">
        <x:v>65236372762</x:v>
      </x:c>
      <x:c r="T101" t="n">
        <x:v>0</x:v>
      </x:c>
    </x:row>
    <x:row r="102">
      <x:c r="A102" t="str">
        <x:v>LN00101</x:v>
      </x:c>
      <x:c r="B102" t="str">
        <x:v>Retail Mortgage</x:v>
      </x:c>
      <x:c r="C102" t="str">
        <x:v>Real Estate</x:v>
      </x:c>
      <x:c r="D102" t="str">
        <x:v>Da Nang</x:v>
      </x:c>
      <x:c r="E102" t="str">
        <x:v>BBB</x:v>
      </x:c>
      <x:c r="F102" t="n">
        <x:v>1294000000000</x:v>
      </x:c>
      <x:c r="G102" t="n">
        <x:v>543501921625</x:v>
      </x:c>
      <x:c r="H102" t="str">
        <x:v>Real Estate</x:v>
      </x:c>
      <x:c r="I102" t="n">
        <x:v>0.15</x:v>
      </x:c>
      <x:c r="J102" t="n">
        <x:v>1.64</x:v>
      </x:c>
      <x:c r="K102" t="n">
        <x:v>2.169</x:v>
      </x:c>
      <x:c r="L102" t="n">
        <x:v>0</x:v>
      </x:c>
      <x:c r="M102" t="n">
        <x:v>1</x:v>
      </x:c>
      <x:c r="N102" t="n">
        <x:v>0.03125</x:v>
      </x:c>
      <x:c r="O102" t="n">
        <x:v>0.3025</x:v>
      </x:c>
      <x:c r="P102" t="n">
        <x:v>1701626441218</x:v>
      </x:c>
      <x:c r="Q102" t="n">
        <x:v>1</x:v>
      </x:c>
      <x:c r="R102" t="n">
        <x:v>0.046875</x:v>
      </x:c>
      <x:c r="S102" t="n">
        <x:v>16085687452</x:v>
      </x:c>
      <x:c r="T102" t="n">
        <x:v>0</x:v>
      </x:c>
    </x:row>
    <x:row r="103">
      <x:c r="A103" t="str">
        <x:v>LN00102</x:v>
      </x:c>
      <x:c r="B103" t="str">
        <x:v>SME</x:v>
      </x:c>
      <x:c r="C103" t="str">
        <x:v>Transport</x:v>
      </x:c>
      <x:c r="D103" t="str">
        <x:v>Hanoi</x:v>
      </x:c>
      <x:c r="E103" t="str">
        <x:v>A</x:v>
      </x:c>
      <x:c r="F103" t="n">
        <x:v>1803000000000</x:v>
      </x:c>
      <x:c r="G103" t="n">
        <x:v>725864131531</x:v>
      </x:c>
      <x:c r="H103" t="str">
        <x:v>Receivables</x:v>
      </x:c>
      <x:c r="I103" t="n">
        <x:v>0.7198</x:v>
      </x:c>
      <x:c r="J103" t="n">
        <x:v>0.677</x:v>
      </x:c>
      <x:c r="K103" t="n">
        <x:v>5.668</x:v>
      </x:c>
      <x:c r="L103" t="n">
        <x:v>65</x:v>
      </x:c>
      <x:c r="M103" t="n">
        <x:v>0</x:v>
      </x:c>
      <x:c r="N103" t="n">
        <x:v>0.033864</x:v>
      </x:c>
      <x:c r="O103" t="n">
        <x:v>0.50192</x:v>
      </x:c>
      <x:c r="P103" t="n">
        <x:v>2093345652612</x:v>
      </x:c>
      <x:c r="Q103" t="n">
        <x:v>2</x:v>
      </x:c>
      <x:c r="R103" t="n">
        <x:v>0.101592</x:v>
      </x:c>
      <x:c r="S103" t="n">
        <x:v>106742083588</x:v>
      </x:c>
      <x:c r="T103" t="n">
        <x:v>0</x:v>
      </x:c>
    </x:row>
    <x:row r="104">
      <x:c r="A104" t="str">
        <x:v>LN00103</x:v>
      </x:c>
      <x:c r="B104" t="str">
        <x:v>SME</x:v>
      </x:c>
      <x:c r="C104" t="str">
        <x:v>Manufacturing</x:v>
      </x:c>
      <x:c r="D104" t="str">
        <x:v>Da Nang</x:v>
      </x:c>
      <x:c r="E104" t="str">
        <x:v>BBB</x:v>
      </x:c>
      <x:c r="F104" t="n">
        <x:v>422000000000</x:v>
      </x:c>
      <x:c r="G104" t="n">
        <x:v>15205086213</x:v>
      </x:c>
      <x:c r="H104" t="str">
        <x:v>Inventory</x:v>
      </x:c>
      <x:c r="I104" t="n">
        <x:v>0.7591</x:v>
      </x:c>
      <x:c r="J104" t="n">
        <x:v>1.401</x:v>
      </x:c>
      <x:c r="K104" t="n">
        <x:v>2.021</x:v>
      </x:c>
      <x:c r="L104" t="n">
        <x:v>0</x:v>
      </x:c>
      <x:c r="M104" t="n">
        <x:v>1</x:v>
      </x:c>
      <x:c r="N104" t="n">
        <x:v>0.03125</x:v>
      </x:c>
      <x:c r="O104" t="n">
        <x:v>0.515702</x:v>
      </x:c>
      <x:c r="P104" t="n">
        <x:v>428082034485</x:v>
      </x:c>
      <x:c r="Q104" t="n">
        <x:v>1</x:v>
      </x:c>
      <x:c r="R104" t="n">
        <x:v>0.046875</x:v>
      </x:c>
      <x:c r="S104" t="n">
        <x:v>6898837097</x:v>
      </x:c>
      <x:c r="T104" t="n">
        <x:v>0</x:v>
      </x:c>
    </x:row>
    <x:row r="105">
      <x:c r="A105" t="str">
        <x:v>LN00104</x:v>
      </x:c>
      <x:c r="B105" t="str">
        <x:v>Large Corporate</x:v>
      </x:c>
      <x:c r="C105" t="str">
        <x:v>Real Estate</x:v>
      </x:c>
      <x:c r="D105" t="str">
        <x:v>HCMC</x:v>
      </x:c>
      <x:c r="E105" t="str">
        <x:v>BB</x:v>
      </x:c>
      <x:c r="F105" t="n">
        <x:v>1665000000000</x:v>
      </x:c>
      <x:c r="G105" t="n">
        <x:v>272210864640</x:v>
      </x:c>
      <x:c r="H105" t="str">
        <x:v>Unsecured</x:v>
      </x:c>
      <x:c r="I105" t="n">
        <x:v>0.677</x:v>
      </x:c>
      <x:c r="J105" t="n">
        <x:v>2.062</x:v>
      </x:c>
      <x:c r="K105" t="n">
        <x:v>1.196</x:v>
      </x:c>
      <x:c r="L105" t="n">
        <x:v>0</x:v>
      </x:c>
      <x:c r="M105" t="n">
        <x:v>1</x:v>
      </x:c>
      <x:c r="N105" t="n">
        <x:v>0.06875</x:v>
      </x:c>
      <x:c r="O105" t="n">
        <x:v>0.686957</x:v>
      </x:c>
      <x:c r="P105" t="n">
        <x:v>1773884345856</x:v>
      </x:c>
      <x:c r="Q105" t="n">
        <x:v>1</x:v>
      </x:c>
      <x:c r="R105" t="n">
        <x:v>0.103125</x:v>
      </x:c>
      <x:c r="S105" t="n">
        <x:v>83777530012</x:v>
      </x:c>
      <x:c r="T105" t="n">
        <x:v>0</x:v>
      </x:c>
    </x:row>
    <x:row r="106">
      <x:c r="A106" t="str">
        <x:v>LN00105</x:v>
      </x:c>
      <x:c r="B106" t="str">
        <x:v>SME</x:v>
      </x:c>
      <x:c r="C106" t="str">
        <x:v>Transport</x:v>
      </x:c>
      <x:c r="D106" t="str">
        <x:v>Hanoi</x:v>
      </x:c>
      <x:c r="E106" t="str">
        <x:v>B</x:v>
      </x:c>
      <x:c r="F106" t="n">
        <x:v>134000000000</x:v>
      </x:c>
      <x:c r="G106" t="n">
        <x:v>36487218179</x:v>
      </x:c>
      <x:c r="H106" t="str">
        <x:v>Cash</x:v>
      </x:c>
      <x:c r="I106" t="n">
        <x:v>0.6398</x:v>
      </x:c>
      <x:c r="J106" t="n">
        <x:v>0.59</x:v>
      </x:c>
      <x:c r="K106" t="n">
        <x:v>1.552</x:v>
      </x:c>
      <x:c r="L106" t="n">
        <x:v>0</x:v>
      </x:c>
      <x:c r="M106" t="n">
        <x:v>0</x:v>
      </x:c>
      <x:c r="N106" t="n">
        <x:v>0.178561</x:v>
      </x:c>
      <x:c r="O106" t="n">
        <x:v>0.323921</x:v>
      </x:c>
      <x:c r="P106" t="n">
        <x:v>148594887271</x:v>
      </x:c>
      <x:c r="Q106" t="n">
        <x:v>1</x:v>
      </x:c>
      <x:c r="R106" t="n">
        <x:v>0.267841</x:v>
      </x:c>
      <x:c r="S106" t="n">
        <x:v>8594670736</x:v>
      </x:c>
      <x:c r="T106" t="n">
        <x:v>0</x:v>
      </x:c>
    </x:row>
    <x:row r="107">
      <x:c r="A107" t="str">
        <x:v>LN00106</x:v>
      </x:c>
      <x:c r="B107" t="str">
        <x:v>SME</x:v>
      </x:c>
      <x:c r="C107" t="str">
        <x:v>Technology</x:v>
      </x:c>
      <x:c r="D107" t="str">
        <x:v>Hai Phong</x:v>
      </x:c>
      <x:c r="E107" t="str">
        <x:v>BB</x:v>
      </x:c>
      <x:c r="F107" t="n">
        <x:v>484000000000</x:v>
      </x:c>
      <x:c r="G107" t="n">
        <x:v>57014960160</x:v>
      </x:c>
      <x:c r="H107" t="str">
        <x:v>Cash</x:v>
      </x:c>
      <x:c r="I107" t="n">
        <x:v>0.74</x:v>
      </x:c>
      <x:c r="J107" t="n">
        <x:v>1.761</x:v>
      </x:c>
      <x:c r="K107" t="n">
        <x:v>4.719</x:v>
      </x:c>
      <x:c r="L107" t="n">
        <x:v>65</x:v>
      </x:c>
      <x:c r="M107" t="n">
        <x:v>0</x:v>
      </x:c>
      <x:c r="N107" t="n">
        <x:v>0.125929</x:v>
      </x:c>
      <x:c r="O107" t="n">
        <x:v>0.358998</x:v>
      </x:c>
      <x:c r="P107" t="n">
        <x:v>506805984064</x:v>
      </x:c>
      <x:c r="Q107" t="n">
        <x:v>2</x:v>
      </x:c>
      <x:c r="R107" t="n">
        <x:v>0.377786</x:v>
      </x:c>
      <x:c r="S107" t="n">
        <x:v>68735275176</x:v>
      </x:c>
      <x:c r="T107" t="n">
        <x:v>0</x:v>
      </x:c>
    </x:row>
    <x:row r="108">
      <x:c r="A108" t="str">
        <x:v>LN00107</x:v>
      </x:c>
      <x:c r="B108" t="str">
        <x:v>Consumer Finance</x:v>
      </x:c>
      <x:c r="C108" t="str">
        <x:v>Technology</x:v>
      </x:c>
      <x:c r="D108" t="str">
        <x:v>Hanoi</x:v>
      </x:c>
      <x:c r="E108" t="str">
        <x:v>A</x:v>
      </x:c>
      <x:c r="F108" t="n">
        <x:v>1311000000000</x:v>
      </x:c>
      <x:c r="G108" t="n">
        <x:v>393992084398</x:v>
      </x:c>
      <x:c r="H108" t="str">
        <x:v>Unsecured</x:v>
      </x:c>
      <x:c r="I108" t="n">
        <x:v>0.7864</x:v>
      </x:c>
      <x:c r="J108" t="n">
        <x:v>1.127</x:v>
      </x:c>
      <x:c r="K108" t="n">
        <x:v>2.903</x:v>
      </x:c>
      <x:c r="L108" t="n">
        <x:v>5</x:v>
      </x:c>
      <x:c r="M108" t="n">
        <x:v>0</x:v>
      </x:c>
      <x:c r="N108" t="n">
        <x:v>0.013698</x:v>
      </x:c>
      <x:c r="O108" t="n">
        <x:v>0.725253</x:v>
      </x:c>
      <x:c r="P108" t="n">
        <x:v>1606494063298</x:v>
      </x:c>
      <x:c r="Q108" t="n">
        <x:v>1</x:v>
      </x:c>
      <x:c r="R108" t="n">
        <x:v>0.020547</x:v>
      </x:c>
      <x:c r="S108" t="n">
        <x:v>15959779498</x:v>
      </x:c>
      <x:c r="T108" t="n">
        <x:v>0</x:v>
      </x:c>
    </x:row>
    <x:row r="109">
      <x:c r="A109" t="str">
        <x:v>LN00108</x:v>
      </x:c>
      <x:c r="B109" t="str">
        <x:v>Large Corporate</x:v>
      </x:c>
      <x:c r="C109" t="str">
        <x:v>Manufacturing</x:v>
      </x:c>
      <x:c r="D109" t="str">
        <x:v>Binh Duong</x:v>
      </x:c>
      <x:c r="E109" t="str">
        <x:v>CCC</x:v>
      </x:c>
      <x:c r="F109" t="n">
        <x:v>109000000000</x:v>
      </x:c>
      <x:c r="G109" t="n">
        <x:v>17701974523</x:v>
      </x:c>
      <x:c r="H109" t="str">
        <x:v>Receivables</x:v>
      </x:c>
      <x:c r="I109" t="n">
        <x:v>1.1129</x:v>
      </x:c>
      <x:c r="J109" t="n">
        <x:v>1.245</x:v>
      </x:c>
      <x:c r="K109" t="n">
        <x:v>2.511</x:v>
      </x:c>
      <x:c r="L109" t="n">
        <x:v>35</x:v>
      </x:c>
      <x:c r="M109" t="n">
        <x:v>0</x:v>
      </x:c>
      <x:c r="N109" t="n">
        <x:v>0.443333</x:v>
      </x:c>
      <x:c r="O109" t="n">
        <x:v>0.639503</x:v>
      </x:c>
      <x:c r="P109" t="n">
        <x:v>116080789809</x:v>
      </x:c>
      <x:c r="Q109" t="n">
        <x:v>2</x:v>
      </x:c>
      <x:c r="R109" t="n">
        <x:v>0.99</x:v>
      </x:c>
      <x:c r="S109" t="n">
        <x:v>73491700224</x:v>
      </x:c>
      <x:c r="T109" t="n">
        <x:v>0</x:v>
      </x:c>
    </x:row>
    <x:row r="110">
      <x:c r="A110" t="str">
        <x:v>LN00109</x:v>
      </x:c>
      <x:c r="B110" t="str">
        <x:v>Retail Mortgage</x:v>
      </x:c>
      <x:c r="C110" t="str">
        <x:v>Energy</x:v>
      </x:c>
      <x:c r="D110" t="str">
        <x:v>Binh Duong</x:v>
      </x:c>
      <x:c r="E110" t="str">
        <x:v>BBB</x:v>
      </x:c>
      <x:c r="F110" t="n">
        <x:v>515000000000</x:v>
      </x:c>
      <x:c r="G110" t="n">
        <x:v>225349002778</x:v>
      </x:c>
      <x:c r="H110" t="str">
        <x:v>Real Estate</x:v>
      </x:c>
      <x:c r="I110" t="n">
        <x:v>0.5131</x:v>
      </x:c>
      <x:c r="J110" t="n">
        <x:v>1.331</x:v>
      </x:c>
      <x:c r="K110" t="n">
        <x:v>2.653</x:v>
      </x:c>
      <x:c r="L110" t="n">
        <x:v>5</x:v>
      </x:c>
      <x:c r="M110" t="n">
        <x:v>0</x:v>
      </x:c>
      <x:c r="N110" t="n">
        <x:v>0.027083</x:v>
      </x:c>
      <x:c r="O110" t="n">
        <x:v>0.429583</x:v>
      </x:c>
      <x:c r="P110" t="n">
        <x:v>684011752083</x:v>
      </x:c>
      <x:c r="Q110" t="n">
        <x:v>1</x:v>
      </x:c>
      <x:c r="R110" t="n">
        <x:v>0.040625</x:v>
      </x:c>
      <x:c r="S110" t="n">
        <x:v>7958170451</x:v>
      </x:c>
      <x:c r="T110" t="n">
        <x:v>0</x:v>
      </x:c>
    </x:row>
    <x:row r="111">
      <x:c r="A111" t="str">
        <x:v>LN00110</x:v>
      </x:c>
      <x:c r="B111" t="str">
        <x:v>Retail Mortgage</x:v>
      </x:c>
      <x:c r="C111" t="str">
        <x:v>Real Estate</x:v>
      </x:c>
      <x:c r="D111" t="str">
        <x:v>Dong Nai</x:v>
      </x:c>
      <x:c r="E111" t="str">
        <x:v>B</x:v>
      </x:c>
      <x:c r="F111" t="n">
        <x:v>628000000000</x:v>
      </x:c>
      <x:c r="G111" t="n">
        <x:v>85945595797</x:v>
      </x:c>
      <x:c r="H111" t="str">
        <x:v>Cash</x:v>
      </x:c>
      <x:c r="I111" t="n">
        <x:v>0.6084</x:v>
      </x:c>
      <x:c r="J111" t="n">
        <x:v>2.475</x:v>
      </x:c>
      <x:c r="K111" t="n">
        <x:v>5.983</x:v>
      </x:c>
      <x:c r="L111" t="n">
        <x:v>0</x:v>
      </x:c>
      <x:c r="M111" t="n">
        <x:v>0</x:v>
      </x:c>
      <x:c r="N111" t="n">
        <x:v>0.162958</x:v>
      </x:c>
      <x:c r="O111" t="n">
        <x:v>0.312949</x:v>
      </x:c>
      <x:c r="P111" t="n">
        <x:v>692459196847</x:v>
      </x:c>
      <x:c r="Q111" t="n">
        <x:v>1</x:v>
      </x:c>
      <x:c r="R111" t="n">
        <x:v>0.244437</x:v>
      </x:c>
      <x:c r="S111" t="n">
        <x:v>35313659081</x:v>
      </x:c>
      <x:c r="T111" t="n">
        <x:v>0</x:v>
      </x:c>
    </x:row>
    <x:row r="112">
      <x:c r="A112" t="str">
        <x:v>LN00111</x:v>
      </x:c>
      <x:c r="B112" t="str">
        <x:v>Large Corporate</x:v>
      </x:c>
      <x:c r="C112" t="str">
        <x:v>F&amp;B</x:v>
      </x:c>
      <x:c r="D112" t="str">
        <x:v>Hanoi</x:v>
      </x:c>
      <x:c r="E112" t="str">
        <x:v>CCC</x:v>
      </x:c>
      <x:c r="F112" t="n">
        <x:v>2518000000000</x:v>
      </x:c>
      <x:c r="G112" t="n">
        <x:v>604483955530</x:v>
      </x:c>
      <x:c r="H112" t="str">
        <x:v>Inventory</x:v>
      </x:c>
      <x:c r="I112" t="n">
        <x:v>0.7285</x:v>
      </x:c>
      <x:c r="J112" t="n">
        <x:v>1.795</x:v>
      </x:c>
      <x:c r="K112" t="n">
        <x:v>3.956</x:v>
      </x:c>
      <x:c r="L112" t="n">
        <x:v>0</x:v>
      </x:c>
      <x:c r="M112" t="n">
        <x:v>1</x:v>
      </x:c>
      <x:c r="N112" t="n">
        <x:v>0.382132</x:v>
      </x:c>
      <x:c r="O112" t="n">
        <x:v>0.504962</x:v>
      </x:c>
      <x:c r="P112" t="n">
        <x:v>2759793582212</x:v>
      </x:c>
      <x:c r="Q112" t="n">
        <x:v>1</x:v>
      </x:c>
      <x:c r="R112" t="n">
        <x:v>0.573198</x:v>
      </x:c>
      <x:c r="S112" t="n">
        <x:v>532535518597</x:v>
      </x:c>
      <x:c r="T112" t="n">
        <x:v>0</x:v>
      </x:c>
    </x:row>
    <x:row r="113">
      <x:c r="A113" t="str">
        <x:v>LN00112</x:v>
      </x:c>
      <x:c r="B113" t="str">
        <x:v>Large Corporate</x:v>
      </x:c>
      <x:c r="C113" t="str">
        <x:v>Healthcare</x:v>
      </x:c>
      <x:c r="D113" t="str">
        <x:v>Da Nang</x:v>
      </x:c>
      <x:c r="E113" t="str">
        <x:v>AA</x:v>
      </x:c>
      <x:c r="F113" t="n">
        <x:v>2345000000000</x:v>
      </x:c>
      <x:c r="G113" t="n">
        <x:v>439603203460</x:v>
      </x:c>
      <x:c r="H113" t="str">
        <x:v>Machinery</x:v>
      </x:c>
      <x:c r="I113" t="n">
        <x:v>0.5817</x:v>
      </x:c>
      <x:c r="J113" t="n">
        <x:v>1.385</x:v>
      </x:c>
      <x:c r="K113" t="n">
        <x:v>1.94</x:v>
      </x:c>
      <x:c r="L113" t="n">
        <x:v>65</x:v>
      </x:c>
      <x:c r="M113" t="n">
        <x:v>0</x:v>
      </x:c>
      <x:c r="N113" t="n">
        <x:v>0.010417</x:v>
      </x:c>
      <x:c r="O113" t="n">
        <x:v>0.453592</x:v>
      </x:c>
      <x:c r="P113" t="n">
        <x:v>2520841281384</x:v>
      </x:c>
      <x:c r="Q113" t="n">
        <x:v>2</x:v>
      </x:c>
      <x:c r="R113" t="n">
        <x:v>0.03125</x:v>
      </x:c>
      <x:c r="S113" t="n">
        <x:v>35732263272</x:v>
      </x:c>
      <x:c r="T113" t="n">
        <x:v>0</x:v>
      </x:c>
    </x:row>
    <x:row r="114">
      <x:c r="A114" t="str">
        <x:v>LN00113</x:v>
      </x:c>
      <x:c r="B114" t="str">
        <x:v>Large Corporate</x:v>
      </x:c>
      <x:c r="C114" t="str">
        <x:v>Real Estate</x:v>
      </x:c>
      <x:c r="D114" t="str">
        <x:v>Da Nang</x:v>
      </x:c>
      <x:c r="E114" t="str">
        <x:v>BBB</x:v>
      </x:c>
      <x:c r="F114" t="n">
        <x:v>1985000000000</x:v>
      </x:c>
      <x:c r="G114" t="n">
        <x:v>414862957432</x:v>
      </x:c>
      <x:c r="H114" t="str">
        <x:v>Receivables</x:v>
      </x:c>
      <x:c r="I114" t="n">
        <x:v>0.7902</x:v>
      </x:c>
      <x:c r="J114" t="n">
        <x:v>2.058</x:v>
      </x:c>
      <x:c r="K114" t="n">
        <x:v>3.992</x:v>
      </x:c>
      <x:c r="L114" t="n">
        <x:v>0</x:v>
      </x:c>
      <x:c r="M114" t="n">
        <x:v>1</x:v>
      </x:c>
      <x:c r="N114" t="n">
        <x:v>0.034225</x:v>
      </x:c>
      <x:c r="O114" t="n">
        <x:v>0.52657</x:v>
      </x:c>
      <x:c r="P114" t="n">
        <x:v>2150945182972</x:v>
      </x:c>
      <x:c r="Q114" t="n">
        <x:v>1</x:v>
      </x:c>
      <x:c r="R114" t="n">
        <x:v>0.051337</x:v>
      </x:c>
      <x:c r="S114" t="n">
        <x:v>38763531720</x:v>
      </x:c>
      <x:c r="T114" t="n">
        <x:v>0</x:v>
      </x:c>
    </x:row>
    <x:row r="115">
      <x:c r="A115" t="str">
        <x:v>LN00114</x:v>
      </x:c>
      <x:c r="B115" t="str">
        <x:v>Large Corporate</x:v>
      </x:c>
      <x:c r="C115" t="str">
        <x:v>Construction</x:v>
      </x:c>
      <x:c r="D115" t="str">
        <x:v>Dong Nai</x:v>
      </x:c>
      <x:c r="E115" t="str">
        <x:v>BBB</x:v>
      </x:c>
      <x:c r="F115" t="n">
        <x:v>579000000000</x:v>
      </x:c>
      <x:c r="G115" t="n">
        <x:v>25224276074</x:v>
      </x:c>
      <x:c r="H115" t="str">
        <x:v>Machinery</x:v>
      </x:c>
      <x:c r="I115" t="n">
        <x:v>0.8362</x:v>
      </x:c>
      <x:c r="J115" t="n">
        <x:v>1.665</x:v>
      </x:c>
      <x:c r="K115" t="n">
        <x:v>4.535</x:v>
      </x:c>
      <x:c r="L115" t="n">
        <x:v>35</x:v>
      </x:c>
      <x:c r="M115" t="n">
        <x:v>0</x:v>
      </x:c>
      <x:c r="N115" t="n">
        <x:v>0.044187</x:v>
      </x:c>
      <x:c r="O115" t="n">
        <x:v>0.542656</x:v>
      </x:c>
      <x:c r="P115" t="n">
        <x:v>589089710429</x:v>
      </x:c>
      <x:c r="Q115" t="n">
        <x:v>2</x:v>
      </x:c>
      <x:c r="R115" t="n">
        <x:v>0.132562</x:v>
      </x:c>
      <x:c r="S115" t="n">
        <x:v>42376627474</x:v>
      </x:c>
      <x:c r="T115" t="n">
        <x:v>0</x:v>
      </x:c>
    </x:row>
    <x:row r="116">
      <x:c r="A116" t="str">
        <x:v>LN00115</x:v>
      </x:c>
      <x:c r="B116" t="str">
        <x:v>SME</x:v>
      </x:c>
      <x:c r="C116" t="str">
        <x:v>Manufacturing</x:v>
      </x:c>
      <x:c r="D116" t="str">
        <x:v>Da Nang</x:v>
      </x:c>
      <x:c r="E116" t="str">
        <x:v>BBB</x:v>
      </x:c>
      <x:c r="F116" t="n">
        <x:v>1914000000000</x:v>
      </x:c>
      <x:c r="G116" t="n">
        <x:v>429581736842</x:v>
      </x:c>
      <x:c r="H116" t="str">
        <x:v>Cash</x:v>
      </x:c>
      <x:c r="I116" t="n">
        <x:v>0.8344</x:v>
      </x:c>
      <x:c r="J116" t="n">
        <x:v>1.911</x:v>
      </x:c>
      <x:c r="K116" t="n">
        <x:v>4.764</x:v>
      </x:c>
      <x:c r="L116" t="n">
        <x:v>0</x:v>
      </x:c>
      <x:c r="M116" t="n">
        <x:v>0</x:v>
      </x:c>
      <x:c r="N116" t="n">
        <x:v>0.030292</x:v>
      </x:c>
      <x:c r="O116" t="n">
        <x:v>0.392049</x:v>
      </x:c>
      <x:c r="P116" t="n">
        <x:v>2085832694736</x:v>
      </x:c>
      <x:c r="Q116" t="n">
        <x:v>1</x:v>
      </x:c>
      <x:c r="R116" t="n">
        <x:v>0.045438</x:v>
      </x:c>
      <x:c r="S116" t="n">
        <x:v>24771109281</x:v>
      </x:c>
      <x:c r="T116" t="n">
        <x:v>0</x:v>
      </x:c>
    </x:row>
    <x:row r="117">
      <x:c r="A117" t="str">
        <x:v>LN00116</x:v>
      </x:c>
      <x:c r="B117" t="str">
        <x:v>SME</x:v>
      </x:c>
      <x:c r="C117" t="str">
        <x:v>Construction</x:v>
      </x:c>
      <x:c r="D117" t="str">
        <x:v>Can Tho</x:v>
      </x:c>
      <x:c r="E117" t="str">
        <x:v>BB</x:v>
      </x:c>
      <x:c r="F117" t="n">
        <x:v>2981000000000</x:v>
      </x:c>
      <x:c r="G117" t="n">
        <x:v>490672414876</x:v>
      </x:c>
      <x:c r="H117" t="str">
        <x:v>Inventory</x:v>
      </x:c>
      <x:c r="I117" t="n">
        <x:v>0.8211</x:v>
      </x:c>
      <x:c r="J117" t="n">
        <x:v>1.663</x:v>
      </x:c>
      <x:c r="K117" t="n">
        <x:v>3.443</x:v>
      </x:c>
      <x:c r="L117" t="n">
        <x:v>0</x:v>
      </x:c>
      <x:c r="M117" t="n">
        <x:v>0</x:v>
      </x:c>
      <x:c r="N117" t="n">
        <x:v>0.057926</x:v>
      </x:c>
      <x:c r="O117" t="n">
        <x:v>0.537376</x:v>
      </x:c>
      <x:c r="P117" t="n">
        <x:v>3177268965950</x:v>
      </x:c>
      <x:c r="Q117" t="n">
        <x:v>1</x:v>
      </x:c>
      <x:c r="R117" t="n">
        <x:v>0.086889</x:v>
      </x:c>
      <x:c r="S117" t="n">
        <x:v>98901764398</x:v>
      </x:c>
      <x:c r="T117" t="n">
        <x:v>0</x:v>
      </x:c>
    </x:row>
    <x:row r="118">
      <x:c r="A118" t="str">
        <x:v>LN00117</x:v>
      </x:c>
      <x:c r="B118" t="str">
        <x:v>SME</x:v>
      </x:c>
      <x:c r="C118" t="str">
        <x:v>Healthcare</x:v>
      </x:c>
      <x:c r="D118" t="str">
        <x:v>Dong Nai</x:v>
      </x:c>
      <x:c r="E118" t="str">
        <x:v>BB</x:v>
      </x:c>
      <x:c r="F118" t="n">
        <x:v>529000000000</x:v>
      </x:c>
      <x:c r="G118" t="n">
        <x:v>232118464209</x:v>
      </x:c>
      <x:c r="H118" t="str">
        <x:v>Real Estate</x:v>
      </x:c>
      <x:c r="I118" t="n">
        <x:v>0.3702</x:v>
      </x:c>
      <x:c r="J118" t="n">
        <x:v>2.405</x:v>
      </x:c>
      <x:c r="K118" t="n">
        <x:v>1.442</x:v>
      </x:c>
      <x:c r="L118" t="n">
        <x:v>0</x:v>
      </x:c>
      <x:c r="M118" t="n">
        <x:v>0</x:v>
      </x:c>
      <x:c r="N118" t="n">
        <x:v>0.055</x:v>
      </x:c>
      <x:c r="O118" t="n">
        <x:v>0.379574</x:v>
      </x:c>
      <x:c r="P118" t="n">
        <x:v>621847385683</x:v>
      </x:c>
      <x:c r="Q118" t="n">
        <x:v>1</x:v>
      </x:c>
      <x:c r="R118" t="n">
        <x:v>0.0825</x:v>
      </x:c>
      <x:c r="S118" t="n">
        <x:v>12982029931</x:v>
      </x:c>
      <x:c r="T118" t="n">
        <x:v>0</x:v>
      </x:c>
    </x:row>
    <x:row r="119">
      <x:c r="A119" t="str">
        <x:v>LN00118</x:v>
      </x:c>
      <x:c r="B119" t="str">
        <x:v>SME</x:v>
      </x:c>
      <x:c r="C119" t="str">
        <x:v>Technology</x:v>
      </x:c>
      <x:c r="D119" t="str">
        <x:v>Can Tho</x:v>
      </x:c>
      <x:c r="E119" t="str">
        <x:v>BBB</x:v>
      </x:c>
      <x:c r="F119" t="n">
        <x:v>2485000000000</x:v>
      </x:c>
      <x:c r="G119" t="n">
        <x:v>998744514666</x:v>
      </x:c>
      <x:c r="H119" t="str">
        <x:v>Machinery</x:v>
      </x:c>
      <x:c r="I119" t="n">
        <x:v>0.7168</x:v>
      </x:c>
      <x:c r="J119" t="n">
        <x:v>2.613</x:v>
      </x:c>
      <x:c r="K119" t="n">
        <x:v>5.694</x:v>
      </x:c>
      <x:c r="L119" t="n">
        <x:v>0</x:v>
      </x:c>
      <x:c r="M119" t="n">
        <x:v>1</x:v>
      </x:c>
      <x:c r="N119" t="n">
        <x:v>0.039332</x:v>
      </x:c>
      <x:c r="O119" t="n">
        <x:v>0.500883</x:v>
      </x:c>
      <x:c r="P119" t="n">
        <x:v>2884497805866</x:v>
      </x:c>
      <x:c r="Q119" t="n">
        <x:v>1</x:v>
      </x:c>
      <x:c r="R119" t="n">
        <x:v>0.058998</x:v>
      </x:c>
      <x:c r="S119" t="n">
        <x:v>56827159944</x:v>
      </x:c>
      <x:c r="T119" t="n">
        <x:v>0</x:v>
      </x:c>
    </x:row>
    <x:row r="120">
      <x:c r="A120" t="str">
        <x:v>LN00119</x:v>
      </x:c>
      <x:c r="B120" t="str">
        <x:v>Retail Mortgage</x:v>
      </x:c>
      <x:c r="C120" t="str">
        <x:v>Technology</x:v>
      </x:c>
      <x:c r="D120" t="str">
        <x:v>Binh Duong</x:v>
      </x:c>
      <x:c r="E120" t="str">
        <x:v>BB</x:v>
      </x:c>
      <x:c r="F120" t="n">
        <x:v>1947000000000</x:v>
      </x:c>
      <x:c r="G120" t="n">
        <x:v>714718340246</x:v>
      </x:c>
      <x:c r="H120" t="str">
        <x:v>Inventory</x:v>
      </x:c>
      <x:c r="I120" t="n">
        <x:v>0.6473</x:v>
      </x:c>
      <x:c r="J120" t="n">
        <x:v>2.406</x:v>
      </x:c>
      <x:c r="K120" t="n">
        <x:v>5.039</x:v>
      </x:c>
      <x:c r="L120" t="n">
        <x:v>5</x:v>
      </x:c>
      <x:c r="M120" t="n">
        <x:v>0</x:v>
      </x:c>
      <x:c r="N120" t="n">
        <x:v>0.073039</x:v>
      </x:c>
      <x:c r="O120" t="n">
        <x:v>0.476566</x:v>
      </x:c>
      <x:c r="P120" t="n">
        <x:v>2483038755184</x:v>
      </x:c>
      <x:c r="Q120" t="n">
        <x:v>1</x:v>
      </x:c>
      <x:c r="R120" t="n">
        <x:v>0.109558</x:v>
      </x:c>
      <x:c r="S120" t="n">
        <x:v>86429022663</x:v>
      </x:c>
      <x:c r="T120" t="n">
        <x:v>0</x:v>
      </x:c>
    </x:row>
    <x:row r="121">
      <x:c r="A121" t="str">
        <x:v>LN00120</x:v>
      </x:c>
      <x:c r="B121" t="str">
        <x:v>SME</x:v>
      </x:c>
      <x:c r="C121" t="str">
        <x:v>Real Estate</x:v>
      </x:c>
      <x:c r="D121" t="str">
        <x:v>Hai Phong</x:v>
      </x:c>
      <x:c r="E121" t="str">
        <x:v>BBB</x:v>
      </x:c>
      <x:c r="F121" t="n">
        <x:v>2149000000000</x:v>
      </x:c>
      <x:c r="G121" t="n">
        <x:v>608298859449</x:v>
      </x:c>
      <x:c r="H121" t="str">
        <x:v>Machinery</x:v>
      </x:c>
      <x:c r="I121" t="n">
        <x:v>0.5423</x:v>
      </x:c>
      <x:c r="J121" t="n">
        <x:v>1.03</x:v>
      </x:c>
      <x:c r="K121" t="n">
        <x:v>1.365</x:v>
      </x:c>
      <x:c r="L121" t="n">
        <x:v>0</x:v>
      </x:c>
      <x:c r="M121" t="n">
        <x:v>2</x:v>
      </x:c>
      <x:c r="N121" t="n">
        <x:v>0.040906</x:v>
      </x:c>
      <x:c r="O121" t="n">
        <x:v>0.43979</x:v>
      </x:c>
      <x:c r="P121" t="n">
        <x:v>2392319543779</x:v>
      </x:c>
      <x:c r="Q121" t="n">
        <x:v>2</x:v>
      </x:c>
      <x:c r="R121" t="n">
        <x:v>0.122718</x:v>
      </x:c>
      <x:c r="S121" t="n">
        <x:v>129113833404</x:v>
      </x:c>
      <x:c r="T121" t="n">
        <x:v>0</x:v>
      </x:c>
    </x:row>
    <x:row r="122">
      <x:c r="A122" t="str">
        <x:v>LN00121</x:v>
      </x:c>
      <x:c r="B122" t="str">
        <x:v>SME</x:v>
      </x:c>
      <x:c r="C122" t="str">
        <x:v>Manufacturing</x:v>
      </x:c>
      <x:c r="D122" t="str">
        <x:v>Da Nang</x:v>
      </x:c>
      <x:c r="E122" t="str">
        <x:v>BBB</x:v>
      </x:c>
      <x:c r="F122" t="n">
        <x:v>1682000000000</x:v>
      </x:c>
      <x:c r="G122" t="n">
        <x:v>379827183040</x:v>
      </x:c>
      <x:c r="H122" t="str">
        <x:v>Machinery</x:v>
      </x:c>
      <x:c r="I122" t="n">
        <x:v>0.6773</x:v>
      </x:c>
      <x:c r="J122" t="n">
        <x:v>1.4</x:v>
      </x:c>
      <x:c r="K122" t="n">
        <x:v>4.508</x:v>
      </x:c>
      <x:c r="L122" t="n">
        <x:v>0</x:v>
      </x:c>
      <x:c r="M122" t="n">
        <x:v>3</x:v>
      </x:c>
      <x:c r="N122" t="n">
        <x:v>0.048274</x:v>
      </x:c>
      <x:c r="O122" t="n">
        <x:v>0.487049</x:v>
      </x:c>
      <x:c r="P122" t="n">
        <x:v>1833930873216</x:v>
      </x:c>
      <x:c r="Q122" t="n">
        <x:v>2</x:v>
      </x:c>
      <x:c r="R122" t="n">
        <x:v>0.144823</x:v>
      </x:c>
      <x:c r="S122" t="n">
        <x:v>129357570068</x:v>
      </x:c>
      <x:c r="T122" t="n">
        <x:v>0</x:v>
      </x:c>
    </x:row>
    <x:row r="123">
      <x:c r="A123" t="str">
        <x:v>LN00122</x:v>
      </x:c>
      <x:c r="B123" t="str">
        <x:v>Consumer Finance</x:v>
      </x:c>
      <x:c r="C123" t="str">
        <x:v>Technology</x:v>
      </x:c>
      <x:c r="D123" t="str">
        <x:v>Da Nang</x:v>
      </x:c>
      <x:c r="E123" t="str">
        <x:v>CCC</x:v>
      </x:c>
      <x:c r="F123" t="n">
        <x:v>2239000000000</x:v>
      </x:c>
      <x:c r="G123" t="n">
        <x:v>356961855409</x:v>
      </x:c>
      <x:c r="H123" t="str">
        <x:v>Inventory</x:v>
      </x:c>
      <x:c r="I123" t="n">
        <x:v>0.6174</x:v>
      </x:c>
      <x:c r="J123" t="n">
        <x:v>1.921</x:v>
      </x:c>
      <x:c r="K123" t="n">
        <x:v>0.985</x:v>
      </x:c>
      <x:c r="L123" t="n">
        <x:v>0</x:v>
      </x:c>
      <x:c r="M123" t="n">
        <x:v>0</x:v>
      </x:c>
      <x:c r="N123" t="n">
        <x:v>0.28</x:v>
      </x:c>
      <x:c r="O123" t="n">
        <x:v>0.466095</x:v>
      </x:c>
      <x:c r="P123" t="n">
        <x:v>2506721391556</x:v>
      </x:c>
      <x:c r="Q123" t="n">
        <x:v>1</x:v>
      </x:c>
      <x:c r="R123" t="n">
        <x:v>0.42</x:v>
      </x:c>
      <x:c r="S123" t="n">
        <x:v>327143433059</x:v>
      </x:c>
      <x:c r="T123" t="n">
        <x:v>0</x:v>
      </x:c>
    </x:row>
    <x:row r="124">
      <x:c r="A124" t="str">
        <x:v>LN00123</x:v>
      </x:c>
      <x:c r="B124" t="str">
        <x:v>Retail Mortgage</x:v>
      </x:c>
      <x:c r="C124" t="str">
        <x:v>F&amp;B</x:v>
      </x:c>
      <x:c r="D124" t="str">
        <x:v>Can Tho</x:v>
      </x:c>
      <x:c r="E124" t="str">
        <x:v>BBB</x:v>
      </x:c>
      <x:c r="F124" t="n">
        <x:v>851000000000</x:v>
      </x:c>
      <x:c r="G124" t="n">
        <x:v>264327374133</x:v>
      </x:c>
      <x:c r="H124" t="str">
        <x:v>Unsecured</x:v>
      </x:c>
      <x:c r="I124" t="n">
        <x:v>0.6219</x:v>
      </x:c>
      <x:c r="J124" t="n">
        <x:v>1.843</x:v>
      </x:c>
      <x:c r="K124" t="n">
        <x:v>0.2</x:v>
      </x:c>
      <x:c r="L124" t="n">
        <x:v>0</x:v>
      </x:c>
      <x:c r="M124" t="n">
        <x:v>0</x:v>
      </x:c>
      <x:c r="N124" t="n">
        <x:v>0.025</x:v>
      </x:c>
      <x:c r="O124" t="n">
        <x:v>0.667661</x:v>
      </x:c>
      <x:c r="P124" t="n">
        <x:v>1049245530599</x:v>
      </x:c>
      <x:c r="Q124" t="n">
        <x:v>1</x:v>
      </x:c>
      <x:c r="R124" t="n">
        <x:v>0.0375</x:v>
      </x:c>
      <x:c r="S124" t="n">
        <x:v>17513511240</x:v>
      </x:c>
      <x:c r="T124" t="n">
        <x:v>0</x:v>
      </x:c>
    </x:row>
    <x:row r="125">
      <x:c r="A125" t="str">
        <x:v>LN00124</x:v>
      </x:c>
      <x:c r="B125" t="str">
        <x:v>Large Corporate</x:v>
      </x:c>
      <x:c r="C125" t="str">
        <x:v>Manufacturing</x:v>
      </x:c>
      <x:c r="D125" t="str">
        <x:v>HCMC</x:v>
      </x:c>
      <x:c r="E125" t="str">
        <x:v>BBB</x:v>
      </x:c>
      <x:c r="F125" t="n">
        <x:v>2927000000000</x:v>
      </x:c>
      <x:c r="G125" t="n">
        <x:v>104093621640</x:v>
      </x:c>
      <x:c r="H125" t="str">
        <x:v>Inventory</x:v>
      </x:c>
      <x:c r="I125" t="n">
        <x:v>0.6878</x:v>
      </x:c>
      <x:c r="J125" t="n">
        <x:v>2.514</x:v>
      </x:c>
      <x:c r="K125" t="n">
        <x:v>2.26</x:v>
      </x:c>
      <x:c r="L125" t="n">
        <x:v>15</x:v>
      </x:c>
      <x:c r="M125" t="n">
        <x:v>0</x:v>
      </x:c>
      <x:c r="N125" t="n">
        <x:v>0.03125</x:v>
      </x:c>
      <x:c r="O125" t="n">
        <x:v>0.490741</x:v>
      </x:c>
      <x:c r="P125" t="n">
        <x:v>2968637448656</x:v>
      </x:c>
      <x:c r="Q125" t="n">
        <x:v>1</x:v>
      </x:c>
      <x:c r="R125" t="n">
        <x:v>0.046875</x:v>
      </x:c>
      <x:c r="S125" t="n">
        <x:v>45525970198</x:v>
      </x:c>
      <x:c r="T125" t="n">
        <x:v>0</x:v>
      </x:c>
    </x:row>
    <x:row r="126">
      <x:c r="A126" t="str">
        <x:v>LN00125</x:v>
      </x:c>
      <x:c r="B126" t="str">
        <x:v>Large Corporate</x:v>
      </x:c>
      <x:c r="C126" t="str">
        <x:v>Healthcare</x:v>
      </x:c>
      <x:c r="D126" t="str">
        <x:v>Hai Phong</x:v>
      </x:c>
      <x:c r="E126" t="str">
        <x:v>A</x:v>
      </x:c>
      <x:c r="F126" t="n">
        <x:v>2745000000000</x:v>
      </x:c>
      <x:c r="G126" t="n">
        <x:v>1118128771872</x:v>
      </x:c>
      <x:c r="H126" t="str">
        <x:v>Real Estate</x:v>
      </x:c>
      <x:c r="I126" t="n">
        <x:v>0.6722</x:v>
      </x:c>
      <x:c r="J126" t="n">
        <x:v>2.196</x:v>
      </x:c>
      <x:c r="K126" t="n">
        <x:v>4.213</x:v>
      </x:c>
      <x:c r="L126" t="n">
        <x:v>0</x:v>
      </x:c>
      <x:c r="M126" t="n">
        <x:v>2</x:v>
      </x:c>
      <x:c r="N126" t="n">
        <x:v>0.019747</x:v>
      </x:c>
      <x:c r="O126" t="n">
        <x:v>0.48526</x:v>
      </x:c>
      <x:c r="P126" t="n">
        <x:v>3192251508748</x:v>
      </x:c>
      <x:c r="Q126" t="n">
        <x:v>2</x:v>
      </x:c>
      <x:c r="R126" t="n">
        <x:v>0.059241</x:v>
      </x:c>
      <x:c r="S126" t="n">
        <x:v>91769287370</x:v>
      </x:c>
      <x:c r="T126" t="n">
        <x:v>0</x:v>
      </x:c>
    </x:row>
    <x:row r="127">
      <x:c r="A127" t="str">
        <x:v>LN00126</x:v>
      </x:c>
      <x:c r="B127" t="str">
        <x:v>SME</x:v>
      </x:c>
      <x:c r="C127" t="str">
        <x:v>Technology</x:v>
      </x:c>
      <x:c r="D127" t="str">
        <x:v>Hai Phong</x:v>
      </x:c>
      <x:c r="E127" t="str">
        <x:v>BB</x:v>
      </x:c>
      <x:c r="F127" t="n">
        <x:v>1178000000000</x:v>
      </x:c>
      <x:c r="G127" t="n">
        <x:v>170250998893</x:v>
      </x:c>
      <x:c r="H127" t="str">
        <x:v>Machinery</x:v>
      </x:c>
      <x:c r="I127" t="n">
        <x:v>0.9022</x:v>
      </x:c>
      <x:c r="J127" t="n">
        <x:v>1.069</x:v>
      </x:c>
      <x:c r="K127" t="n">
        <x:v>0.773</x:v>
      </x:c>
      <x:c r="L127" t="n">
        <x:v>0</x:v>
      </x:c>
      <x:c r="M127" t="n">
        <x:v>1</x:v>
      </x:c>
      <x:c r="N127" t="n">
        <x:v>0.07451</x:v>
      </x:c>
      <x:c r="O127" t="n">
        <x:v>0.565761</x:v>
      </x:c>
      <x:c r="P127" t="n">
        <x:v>1246100399557</x:v>
      </x:c>
      <x:c r="Q127" t="n">
        <x:v>1</x:v>
      </x:c>
      <x:c r="R127" t="n">
        <x:v>0.111765</x:v>
      </x:c>
      <x:c r="S127" t="n">
        <x:v>52529227337</x:v>
      </x:c>
      <x:c r="T127" t="n">
        <x:v>0</x:v>
      </x:c>
    </x:row>
    <x:row r="128">
      <x:c r="A128" t="str">
        <x:v>LN00127</x:v>
      </x:c>
      <x:c r="B128" t="str">
        <x:v>Consumer Finance</x:v>
      </x:c>
      <x:c r="C128" t="str">
        <x:v>Manufacturing</x:v>
      </x:c>
      <x:c r="D128" t="str">
        <x:v>Dong Nai</x:v>
      </x:c>
      <x:c r="E128" t="str">
        <x:v>B</x:v>
      </x:c>
      <x:c r="F128" t="n">
        <x:v>1628000000000</x:v>
      </x:c>
      <x:c r="G128" t="n">
        <x:v>577259957447</x:v>
      </x:c>
      <x:c r="H128" t="str">
        <x:v>Real Estate</x:v>
      </x:c>
      <x:c r="I128" t="n">
        <x:v>0.7795</x:v>
      </x:c>
      <x:c r="J128" t="n">
        <x:v>2.642</x:v>
      </x:c>
      <x:c r="K128" t="n">
        <x:v>4.004</x:v>
      </x:c>
      <x:c r="L128" t="n">
        <x:v>0</x:v>
      </x:c>
      <x:c r="M128" t="n">
        <x:v>2</x:v>
      </x:c>
      <x:c r="N128" t="n">
        <x:v>0.194463</x:v>
      </x:c>
      <x:c r="O128" t="n">
        <x:v>0.522842</x:v>
      </x:c>
      <x:c r="P128" t="n">
        <x:v>2060944968085</x:v>
      </x:c>
      <x:c r="Q128" t="n">
        <x:v>2</x:v>
      </x:c>
      <x:c r="R128" t="n">
        <x:v>0.583389</x:v>
      </x:c>
      <x:c r="S128" t="n">
        <x:v>628630053455</x:v>
      </x:c>
      <x:c r="T128" t="n">
        <x:v>0</x:v>
      </x:c>
    </x:row>
    <x:row r="129">
      <x:c r="A129" t="str">
        <x:v>LN00128</x:v>
      </x:c>
      <x:c r="B129" t="str">
        <x:v>Retail Mortgage</x:v>
      </x:c>
      <x:c r="C129" t="str">
        <x:v>Technology</x:v>
      </x:c>
      <x:c r="D129" t="str">
        <x:v>Binh Duong</x:v>
      </x:c>
      <x:c r="E129" t="str">
        <x:v>BB</x:v>
      </x:c>
      <x:c r="F129" t="n">
        <x:v>2067000000000</x:v>
      </x:c>
      <x:c r="G129" t="n">
        <x:v>435329518291</x:v>
      </x:c>
      <x:c r="H129" t="str">
        <x:v>Machinery</x:v>
      </x:c>
      <x:c r="I129" t="n">
        <x:v>0.8893</x:v>
      </x:c>
      <x:c r="J129" t="n">
        <x:v>1.895</x:v>
      </x:c>
      <x:c r="K129" t="n">
        <x:v>3.841</x:v>
      </x:c>
      <x:c r="L129" t="n">
        <x:v>0</x:v>
      </x:c>
      <x:c r="M129" t="n">
        <x:v>0</x:v>
      </x:c>
      <x:c r="N129" t="n">
        <x:v>0.060549</x:v>
      </x:c>
      <x:c r="O129" t="n">
        <x:v>0.561245</x:v>
      </x:c>
      <x:c r="P129" t="n">
        <x:v>2393497138718</x:v>
      </x:c>
      <x:c r="Q129" t="n">
        <x:v>1</x:v>
      </x:c>
      <x:c r="R129" t="n">
        <x:v>0.090823</x:v>
      </x:c>
      <x:c r="S129" t="n">
        <x:v>81337720518</x:v>
      </x:c>
      <x:c r="T129" t="n">
        <x:v>0</x:v>
      </x:c>
    </x:row>
    <x:row r="130">
      <x:c r="A130" t="str">
        <x:v>LN00129</x:v>
      </x:c>
      <x:c r="B130" t="str">
        <x:v>Large Corporate</x:v>
      </x:c>
      <x:c r="C130" t="str">
        <x:v>Retail</x:v>
      </x:c>
      <x:c r="D130" t="str">
        <x:v>Da Nang</x:v>
      </x:c>
      <x:c r="E130" t="str">
        <x:v>BB</x:v>
      </x:c>
      <x:c r="F130" t="n">
        <x:v>1662000000000</x:v>
      </x:c>
      <x:c r="G130" t="n">
        <x:v>618505690324</x:v>
      </x:c>
      <x:c r="H130" t="str">
        <x:v>Unsecured</x:v>
      </x:c>
      <x:c r="I130" t="n">
        <x:v>0.7652</x:v>
      </x:c>
      <x:c r="J130" t="n">
        <x:v>1.778</x:v>
      </x:c>
      <x:c r="K130" t="n">
        <x:v>2.765</x:v>
      </x:c>
      <x:c r="L130" t="n">
        <x:v>0</x:v>
      </x:c>
      <x:c r="M130" t="n">
        <x:v>0</x:v>
      </x:c>
      <x:c r="N130" t="n">
        <x:v>0.055</x:v>
      </x:c>
      <x:c r="O130" t="n">
        <x:v>0.717818</x:v>
      </x:c>
      <x:c r="P130" t="n">
        <x:v>1909402276129</x:v>
      </x:c>
      <x:c r="Q130" t="n">
        <x:v>1</x:v>
      </x:c>
      <x:c r="R130" t="n">
        <x:v>0.0825</x:v>
      </x:c>
      <x:c r="S130" t="n">
        <x:v>75383212410</x:v>
      </x:c>
      <x:c r="T130" t="n">
        <x:v>0</x:v>
      </x:c>
    </x:row>
    <x:row r="131">
      <x:c r="A131" t="str">
        <x:v>LN00130</x:v>
      </x:c>
      <x:c r="B131" t="str">
        <x:v>Large Corporate</x:v>
      </x:c>
      <x:c r="C131" t="str">
        <x:v>Healthcare</x:v>
      </x:c>
      <x:c r="D131" t="str">
        <x:v>Dong Nai</x:v>
      </x:c>
      <x:c r="E131" t="str">
        <x:v>BBB</x:v>
      </x:c>
      <x:c r="F131" t="n">
        <x:v>1474000000000</x:v>
      </x:c>
      <x:c r="G131" t="n">
        <x:v>459513406027</x:v>
      </x:c>
      <x:c r="H131" t="str">
        <x:v>Unsecured</x:v>
      </x:c>
      <x:c r="I131" t="n">
        <x:v>0.9867</x:v>
      </x:c>
      <x:c r="J131" t="n">
        <x:v>2.055</x:v>
      </x:c>
      <x:c r="K131" t="n">
        <x:v>3.467</x:v>
      </x:c>
      <x:c r="L131" t="n">
        <x:v>0</x:v>
      </x:c>
      <x:c r="M131" t="n">
        <x:v>2</x:v>
      </x:c>
      <x:c r="N131" t="n">
        <x:v>0.038902</x:v>
      </x:c>
      <x:c r="O131" t="n">
        <x:v>0.795346</x:v>
      </x:c>
      <x:c r="P131" t="n">
        <x:v>1657805362410</x:v>
      </x:c>
      <x:c r="Q131" t="n">
        <x:v>2</x:v>
      </x:c>
      <x:c r="R131" t="n">
        <x:v>0.116705</x:v>
      </x:c>
      <x:c r="S131" t="n">
        <x:v>153878834118</x:v>
      </x:c>
      <x:c r="T131" t="n">
        <x:v>0</x:v>
      </x:c>
    </x:row>
    <x:row r="132">
      <x:c r="A132" t="str">
        <x:v>LN00131</x:v>
      </x:c>
      <x:c r="B132" t="str">
        <x:v>SME</x:v>
      </x:c>
      <x:c r="C132" t="str">
        <x:v>F&amp;B</x:v>
      </x:c>
      <x:c r="D132" t="str">
        <x:v>Dong Nai</x:v>
      </x:c>
      <x:c r="E132" t="str">
        <x:v>A</x:v>
      </x:c>
      <x:c r="F132" t="n">
        <x:v>899000000000</x:v>
      </x:c>
      <x:c r="G132" t="n">
        <x:v>387300205184</x:v>
      </x:c>
      <x:c r="H132" t="str">
        <x:v>Machinery</x:v>
      </x:c>
      <x:c r="I132" t="n">
        <x:v>0.6317</x:v>
      </x:c>
      <x:c r="J132" t="n">
        <x:v>1.883</x:v>
      </x:c>
      <x:c r="K132" t="n">
        <x:v>4.551</x:v>
      </x:c>
      <x:c r="L132" t="n">
        <x:v>15</x:v>
      </x:c>
      <x:c r="M132" t="n">
        <x:v>1</x:v>
      </x:c>
      <x:c r="N132" t="n">
        <x:v>0.020233</x:v>
      </x:c>
      <x:c r="O132" t="n">
        <x:v>0.471101</x:v>
      </x:c>
      <x:c r="P132" t="n">
        <x:v>1053920082073</x:v>
      </x:c>
      <x:c r="Q132" t="n">
        <x:v>1</x:v>
      </x:c>
      <x:c r="R132" t="n">
        <x:v>0.03035</x:v>
      </x:c>
      <x:c r="S132" t="n">
        <x:v>10045847707</x:v>
      </x:c>
      <x:c r="T132" t="n">
        <x:v>0</x:v>
      </x:c>
    </x:row>
    <x:row r="133">
      <x:c r="A133" t="str">
        <x:v>LN00132</x:v>
      </x:c>
      <x:c r="B133" t="str">
        <x:v>SME</x:v>
      </x:c>
      <x:c r="C133" t="str">
        <x:v>Construction</x:v>
      </x:c>
      <x:c r="D133" t="str">
        <x:v>Hai Phong</x:v>
      </x:c>
      <x:c r="E133" t="str">
        <x:v>B</x:v>
      </x:c>
      <x:c r="F133" t="n">
        <x:v>2884000000000</x:v>
      </x:c>
      <x:c r="G133" t="n">
        <x:v>469524402370</x:v>
      </x:c>
      <x:c r="H133" t="str">
        <x:v>Cash</x:v>
      </x:c>
      <x:c r="I133" t="n">
        <x:v>0.4282</x:v>
      </x:c>
      <x:c r="J133" t="n">
        <x:v>2.033</x:v>
      </x:c>
      <x:c r="K133" t="n">
        <x:v>2.861</x:v>
      </x:c>
      <x:c r="L133" t="n">
        <x:v>0</x:v>
      </x:c>
      <x:c r="M133" t="n">
        <x:v>0</x:v>
      </x:c>
      <x:c r="N133" t="n">
        <x:v>0.12</x:v>
      </x:c>
      <x:c r="O133" t="n">
        <x:v>0.249876</x:v>
      </x:c>
      <x:c r="P133" t="n">
        <x:v>3071809760948</x:v>
      </x:c>
      <x:c r="Q133" t="n">
        <x:v>1</x:v>
      </x:c>
      <x:c r="R133" t="n">
        <x:v>0.18</x:v>
      </x:c>
      <x:c r="S133" t="n">
        <x:v>92108677179</x:v>
      </x:c>
      <x:c r="T133" t="n">
        <x:v>0</x:v>
      </x:c>
    </x:row>
    <x:row r="134">
      <x:c r="A134" t="str">
        <x:v>LN00133</x:v>
      </x:c>
      <x:c r="B134" t="str">
        <x:v>Retail Mortgage</x:v>
      </x:c>
      <x:c r="C134" t="str">
        <x:v>Retail</x:v>
      </x:c>
      <x:c r="D134" t="str">
        <x:v>Can Tho</x:v>
      </x:c>
      <x:c r="E134" t="str">
        <x:v>A</x:v>
      </x:c>
      <x:c r="F134" t="n">
        <x:v>374000000000</x:v>
      </x:c>
      <x:c r="G134" t="n">
        <x:v>151283077893</x:v>
      </x:c>
      <x:c r="H134" t="str">
        <x:v>Receivables</x:v>
      </x:c>
      <x:c r="I134" t="n">
        <x:v>0.7863</x:v>
      </x:c>
      <x:c r="J134" t="n">
        <x:v>1.863</x:v>
      </x:c>
      <x:c r="K134" t="n">
        <x:v>4.18</x:v>
      </x:c>
      <x:c r="L134" t="n">
        <x:v>5</x:v>
      </x:c>
      <x:c r="M134" t="n">
        <x:v>0</x:v>
      </x:c>
      <x:c r="N134" t="n">
        <x:v>0.014699</x:v>
      </x:c>
      <x:c r="O134" t="n">
        <x:v>0.525191</x:v>
      </x:c>
      <x:c r="P134" t="n">
        <x:v>487462308419</x:v>
      </x:c>
      <x:c r="Q134" t="n">
        <x:v>1</x:v>
      </x:c>
      <x:c r="R134" t="n">
        <x:v>0.022049</x:v>
      </x:c>
      <x:c r="S134" t="n">
        <x:v>3763182505</x:v>
      </x:c>
      <x:c r="T134" t="n">
        <x:v>0</x:v>
      </x:c>
    </x:row>
    <x:row r="135">
      <x:c r="A135" t="str">
        <x:v>LN00134</x:v>
      </x:c>
      <x:c r="B135" t="str">
        <x:v>SME</x:v>
      </x:c>
      <x:c r="C135" t="str">
        <x:v>Retail</x:v>
      </x:c>
      <x:c r="D135" t="str">
        <x:v>Can Tho</x:v>
      </x:c>
      <x:c r="E135" t="str">
        <x:v>AAA</x:v>
      </x:c>
      <x:c r="F135" t="n">
        <x:v>1737000000000</x:v>
      </x:c>
      <x:c r="G135" t="n">
        <x:v>269300988548</x:v>
      </x:c>
      <x:c r="H135" t="str">
        <x:v>Real Estate</x:v>
      </x:c>
      <x:c r="I135" t="n">
        <x:v>0.55</x:v>
      </x:c>
      <x:c r="J135" t="n">
        <x:v>3.423</x:v>
      </x:c>
      <x:c r="K135" t="n">
        <x:v>4.95</x:v>
      </x:c>
      <x:c r="L135" t="n">
        <x:v>65</x:v>
      </x:c>
      <x:c r="M135" t="n">
        <x:v>0</x:v>
      </x:c>
      <x:c r="N135" t="n">
        <x:v>0.004635</x:v>
      </x:c>
      <x:c r="O135" t="n">
        <x:v>0.442499</x:v>
      </x:c>
      <x:c r="P135" t="n">
        <x:v>1844720395419</x:v>
      </x:c>
      <x:c r="Q135" t="n">
        <x:v>2</x:v>
      </x:c>
      <x:c r="R135" t="n">
        <x:v>0.013904</x:v>
      </x:c>
      <x:c r="S135" t="n">
        <x:v>11349659884</x:v>
      </x:c>
      <x:c r="T135" t="n">
        <x:v>0</x:v>
      </x:c>
    </x:row>
    <x:row r="136">
      <x:c r="A136" t="str">
        <x:v>LN00135</x:v>
      </x:c>
      <x:c r="B136" t="str">
        <x:v>SME</x:v>
      </x:c>
      <x:c r="C136" t="str">
        <x:v>Energy</x:v>
      </x:c>
      <x:c r="D136" t="str">
        <x:v>HCMC</x:v>
      </x:c>
      <x:c r="E136" t="str">
        <x:v>BB</x:v>
      </x:c>
      <x:c r="F136" t="n">
        <x:v>1839000000000</x:v>
      </x:c>
      <x:c r="G136" t="n">
        <x:v>719654267108</x:v>
      </x:c>
      <x:c r="H136" t="str">
        <x:v>Receivables</x:v>
      </x:c>
      <x:c r="I136" t="n">
        <x:v>1.0118</x:v>
      </x:c>
      <x:c r="J136" t="n">
        <x:v>1.505</x:v>
      </x:c>
      <x:c r="K136" t="n">
        <x:v>2.354</x:v>
      </x:c>
      <x:c r="L136" t="n">
        <x:v>0</x:v>
      </x:c>
      <x:c r="M136" t="n">
        <x:v>0</x:v>
      </x:c>
      <x:c r="N136" t="n">
        <x:v>0.055</x:v>
      </x:c>
      <x:c r="O136" t="n">
        <x:v>0.604114</x:v>
      </x:c>
      <x:c r="P136" t="n">
        <x:v>2126861706843</x:v>
      </x:c>
      <x:c r="Q136" t="n">
        <x:v>1</x:v>
      </x:c>
      <x:c r="R136" t="n">
        <x:v>0.0825</x:v>
      </x:c>
      <x:c r="S136" t="n">
        <x:v>70667727003</x:v>
      </x:c>
      <x:c r="T136" t="n">
        <x:v>0</x:v>
      </x:c>
    </x:row>
    <x:row r="137">
      <x:c r="A137" t="str">
        <x:v>LN00136</x:v>
      </x:c>
      <x:c r="B137" t="str">
        <x:v>Retail Mortgage</x:v>
      </x:c>
      <x:c r="C137" t="str">
        <x:v>Retail</x:v>
      </x:c>
      <x:c r="D137" t="str">
        <x:v>Hanoi</x:v>
      </x:c>
      <x:c r="E137" t="str">
        <x:v>BB</x:v>
      </x:c>
      <x:c r="F137" t="n">
        <x:v>1224000000000</x:v>
      </x:c>
      <x:c r="G137" t="n">
        <x:v>255022548778</x:v>
      </x:c>
      <x:c r="H137" t="str">
        <x:v>Real Estate</x:v>
      </x:c>
      <x:c r="I137" t="n">
        <x:v>0.5788</x:v>
      </x:c>
      <x:c r="J137" t="n">
        <x:v>1.688</x:v>
      </x:c>
      <x:c r="K137" t="n">
        <x:v>1.757</x:v>
      </x:c>
      <x:c r="L137" t="n">
        <x:v>0</x:v>
      </x:c>
      <x:c r="M137" t="n">
        <x:v>0</x:v>
      </x:c>
      <x:c r="N137" t="n">
        <x:v>0.055</x:v>
      </x:c>
      <x:c r="O137" t="n">
        <x:v>0.452588</x:v>
      </x:c>
      <x:c r="P137" t="n">
        <x:v>1415266911583</x:v>
      </x:c>
      <x:c r="Q137" t="n">
        <x:v>1</x:v>
      </x:c>
      <x:c r="R137" t="n">
        <x:v>0.0825</x:v>
      </x:c>
      <x:c r="S137" t="n">
        <x:v>35229286256</x:v>
      </x:c>
      <x:c r="T137" t="n">
        <x:v>0</x:v>
      </x:c>
    </x:row>
    <x:row r="138">
      <x:c r="A138" t="str">
        <x:v>LN00137</x:v>
      </x:c>
      <x:c r="B138" t="str">
        <x:v>SME</x:v>
      </x:c>
      <x:c r="C138" t="str">
        <x:v>Energy</x:v>
      </x:c>
      <x:c r="D138" t="str">
        <x:v>HCMC</x:v>
      </x:c>
      <x:c r="E138" t="str">
        <x:v>B</x:v>
      </x:c>
      <x:c r="F138" t="n">
        <x:v>987000000000</x:v>
      </x:c>
      <x:c r="G138" t="n">
        <x:v>91531152344</x:v>
      </x:c>
      <x:c r="H138" t="str">
        <x:v>Real Estate</x:v>
      </x:c>
      <x:c r="I138" t="n">
        <x:v>0.6921</x:v>
      </x:c>
      <x:c r="J138" t="n">
        <x:v>1.885</x:v>
      </x:c>
      <x:c r="K138" t="n">
        <x:v>1.417</x:v>
      </x:c>
      <x:c r="L138" t="n">
        <x:v>0</x:v>
      </x:c>
      <x:c r="M138" t="n">
        <x:v>0</x:v>
      </x:c>
      <x:c r="N138" t="n">
        <x:v>0.12</x:v>
      </x:c>
      <x:c r="O138" t="n">
        <x:v>0.49224</x:v>
      </x:c>
      <x:c r="P138" t="n">
        <x:v>1023612460937</x:v>
      </x:c>
      <x:c r="Q138" t="n">
        <x:v>1</x:v>
      </x:c>
      <x:c r="R138" t="n">
        <x:v>0.18</x:v>
      </x:c>
      <x:c r="S138" t="n">
        <x:v>60463554177</x:v>
      </x:c>
      <x:c r="T138" t="n">
        <x:v>0</x:v>
      </x:c>
    </x:row>
    <x:row r="139">
      <x:c r="A139" t="str">
        <x:v>LN00138</x:v>
      </x:c>
      <x:c r="B139" t="str">
        <x:v>Large Corporate</x:v>
      </x:c>
      <x:c r="C139" t="str">
        <x:v>F&amp;B</x:v>
      </x:c>
      <x:c r="D139" t="str">
        <x:v>Da Nang</x:v>
      </x:c>
      <x:c r="E139" t="str">
        <x:v>BB</x:v>
      </x:c>
      <x:c r="F139" t="n">
        <x:v>2361000000000</x:v>
      </x:c>
      <x:c r="G139" t="n">
        <x:v>338819232207</x:v>
      </x:c>
      <x:c r="H139" t="str">
        <x:v>Unsecured</x:v>
      </x:c>
      <x:c r="I139" t="n">
        <x:v>0.9489</x:v>
      </x:c>
      <x:c r="J139" t="n">
        <x:v>1.129</x:v>
      </x:c>
      <x:c r="K139" t="n">
        <x:v>1.993</x:v>
      </x:c>
      <x:c r="L139" t="n">
        <x:v>0</x:v>
      </x:c>
      <x:c r="M139" t="n">
        <x:v>0</x:v>
      </x:c>
      <x:c r="N139" t="n">
        <x:v>0.05813</x:v>
      </x:c>
      <x:c r="O139" t="n">
        <x:v>0.782122</x:v>
      </x:c>
      <x:c r="P139" t="n">
        <x:v>2496527692882</x:v>
      </x:c>
      <x:c r="Q139" t="n">
        <x:v>1</x:v>
      </x:c>
      <x:c r="R139" t="n">
        <x:v>0.087195</x:v>
      </x:c>
      <x:c r="S139" t="n">
        <x:v>113503919069</x:v>
      </x:c>
      <x:c r="T139" t="n">
        <x:v>0</x:v>
      </x:c>
    </x:row>
    <x:row r="140">
      <x:c r="A140" t="str">
        <x:v>LN00139</x:v>
      </x:c>
      <x:c r="B140" t="str">
        <x:v>Retail Mortgage</x:v>
      </x:c>
      <x:c r="C140" t="str">
        <x:v>Healthcare</x:v>
      </x:c>
      <x:c r="D140" t="str">
        <x:v>Can Tho</x:v>
      </x:c>
      <x:c r="E140" t="str">
        <x:v>AA</x:v>
      </x:c>
      <x:c r="F140" t="n">
        <x:v>2566000000000</x:v>
      </x:c>
      <x:c r="G140" t="n">
        <x:v>783752767358</x:v>
      </x:c>
      <x:c r="H140" t="str">
        <x:v>Machinery</x:v>
      </x:c>
      <x:c r="I140" t="n">
        <x:v>0.7918</x:v>
      </x:c>
      <x:c r="J140" t="n">
        <x:v>1.741</x:v>
      </x:c>
      <x:c r="K140" t="n">
        <x:v>2.076</x:v>
      </x:c>
      <x:c r="L140" t="n">
        <x:v>5</x:v>
      </x:c>
      <x:c r="M140" t="n">
        <x:v>0</x:v>
      </x:c>
      <x:c r="N140" t="n">
        <x:v>0.005417</x:v>
      </x:c>
      <x:c r="O140" t="n">
        <x:v>0.527129</x:v>
      </x:c>
      <x:c r="P140" t="n">
        <x:v>3153814575518</x:v>
      </x:c>
      <x:c r="Q140" t="n">
        <x:v>1</x:v>
      </x:c>
      <x:c r="R140" t="n">
        <x:v>0.008125</x:v>
      </x:c>
      <x:c r="S140" t="n">
        <x:v>9005031816</x:v>
      </x:c>
      <x:c r="T140" t="n">
        <x:v>0</x:v>
      </x:c>
    </x:row>
    <x:row r="141">
      <x:c r="A141" t="str">
        <x:v>LN00140</x:v>
      </x:c>
      <x:c r="B141" t="str">
        <x:v>Retail Mortgage</x:v>
      </x:c>
      <x:c r="C141" t="str">
        <x:v>Retail</x:v>
      </x:c>
      <x:c r="D141" t="str">
        <x:v>Dong Nai</x:v>
      </x:c>
      <x:c r="E141" t="str">
        <x:v>BB</x:v>
      </x:c>
      <x:c r="F141" t="n">
        <x:v>2900000000000</x:v>
      </x:c>
      <x:c r="G141" t="n">
        <x:v>188379032660</x:v>
      </x:c>
      <x:c r="H141" t="str">
        <x:v>Inventory</x:v>
      </x:c>
      <x:c r="I141" t="n">
        <x:v>1.0156</x:v>
      </x:c>
      <x:c r="J141" t="n">
        <x:v>1.616</x:v>
      </x:c>
      <x:c r="K141" t="n">
        <x:v>3.311</x:v>
      </x:c>
      <x:c r="L141" t="n">
        <x:v>0</x:v>
      </x:c>
      <x:c r="M141" t="n">
        <x:v>0</x:v>
      </x:c>
      <x:c r="N141" t="n">
        <x:v>0.057053</x:v>
      </x:c>
      <x:c r="O141" t="n">
        <x:v>0.605472</x:v>
      </x:c>
      <x:c r="P141" t="n">
        <x:v>3041284274495</x:v>
      </x:c>
      <x:c r="Q141" t="n">
        <x:v>1</x:v>
      </x:c>
      <x:c r="R141" t="n">
        <x:v>0.085579</x:v>
      </x:c>
      <x:c r="S141" t="n">
        <x:v>105058093043</x:v>
      </x:c>
      <x:c r="T141" t="n">
        <x:v>0</x:v>
      </x:c>
    </x:row>
    <x:row r="142">
      <x:c r="A142" t="str">
        <x:v>LN00141</x:v>
      </x:c>
      <x:c r="B142" t="str">
        <x:v>Retail Mortgage</x:v>
      </x:c>
      <x:c r="C142" t="str">
        <x:v>Technology</x:v>
      </x:c>
      <x:c r="D142" t="str">
        <x:v>HCMC</x:v>
      </x:c>
      <x:c r="E142" t="str">
        <x:v>AA</x:v>
      </x:c>
      <x:c r="F142" t="n">
        <x:v>2195000000000</x:v>
      </x:c>
      <x:c r="G142" t="n">
        <x:v>715708549581</x:v>
      </x:c>
      <x:c r="H142" t="str">
        <x:v>Real Estate</x:v>
      </x:c>
      <x:c r="I142" t="n">
        <x:v>0.7078</x:v>
      </x:c>
      <x:c r="J142" t="n">
        <x:v>2.205</x:v>
      </x:c>
      <x:c r="K142" t="n">
        <x:v>2.322</x:v>
      </x:c>
      <x:c r="L142" t="n">
        <x:v>15</x:v>
      </x:c>
      <x:c r="M142" t="n">
        <x:v>1</x:v>
      </x:c>
      <x:c r="N142" t="n">
        <x:v>0.0075</x:v>
      </x:c>
      <x:c r="O142" t="n">
        <x:v>0.49772</x:v>
      </x:c>
      <x:c r="P142" t="n">
        <x:v>2731781412185</x:v>
      </x:c>
      <x:c r="Q142" t="n">
        <x:v>1</x:v>
      </x:c>
      <x:c r="R142" t="n">
        <x:v>0.01125</x:v>
      </x:c>
      <x:c r="S142" t="n">
        <x:v>10197458180</x:v>
      </x:c>
      <x:c r="T142" t="n">
        <x:v>0</x:v>
      </x:c>
    </x:row>
    <x:row r="143">
      <x:c r="A143" t="str">
        <x:v>LN00142</x:v>
      </x:c>
      <x:c r="B143" t="str">
        <x:v>Large Corporate</x:v>
      </x:c>
      <x:c r="C143" t="str">
        <x:v>Transport</x:v>
      </x:c>
      <x:c r="D143" t="str">
        <x:v>Binh Duong</x:v>
      </x:c>
      <x:c r="E143" t="str">
        <x:v>B</x:v>
      </x:c>
      <x:c r="F143" t="n">
        <x:v>869000000000</x:v>
      </x:c>
      <x:c r="G143" t="n">
        <x:v>366476325400</x:v>
      </x:c>
      <x:c r="H143" t="str">
        <x:v>Real Estate</x:v>
      </x:c>
      <x:c r="I143" t="n">
        <x:v>0.5579</x:v>
      </x:c>
      <x:c r="J143" t="n">
        <x:v>2.067</x:v>
      </x:c>
      <x:c r="K143" t="n">
        <x:v>3.035</x:v>
      </x:c>
      <x:c r="L143" t="n">
        <x:v>0</x:v>
      </x:c>
      <x:c r="M143" t="n">
        <x:v>0</x:v>
      </x:c>
      <x:c r="N143" t="n">
        <x:v>0.120503</x:v>
      </x:c>
      <x:c r="O143" t="n">
        <x:v>0.445264</x:v>
      </x:c>
      <x:c r="P143" t="n">
        <x:v>1015590530160</x:v>
      </x:c>
      <x:c r="Q143" t="n">
        <x:v>1</x:v>
      </x:c>
      <x:c r="R143" t="n">
        <x:v>0.180754</x:v>
      </x:c>
      <x:c r="S143" t="n">
        <x:v>54492148183</x:v>
      </x:c>
      <x:c r="T143" t="n">
        <x:v>0</x:v>
      </x:c>
    </x:row>
    <x:row r="144">
      <x:c r="A144" t="str">
        <x:v>LN00143</x:v>
      </x:c>
      <x:c r="B144" t="str">
        <x:v>SME</x:v>
      </x:c>
      <x:c r="C144" t="str">
        <x:v>F&amp;B</x:v>
      </x:c>
      <x:c r="D144" t="str">
        <x:v>Hanoi</x:v>
      </x:c>
      <x:c r="E144" t="str">
        <x:v>BBB</x:v>
      </x:c>
      <x:c r="F144" t="n">
        <x:v>2659000000000</x:v>
      </x:c>
      <x:c r="G144" t="n">
        <x:v>429872021195</x:v>
      </x:c>
      <x:c r="H144" t="str">
        <x:v>Cash</x:v>
      </x:c>
      <x:c r="I144" t="n">
        <x:v>0.8326</x:v>
      </x:c>
      <x:c r="J144" t="n">
        <x:v>2.458</x:v>
      </x:c>
      <x:c r="K144" t="n">
        <x:v>2.562</x:v>
      </x:c>
      <x:c r="L144" t="n">
        <x:v>15</x:v>
      </x:c>
      <x:c r="M144" t="n">
        <x:v>2</x:v>
      </x:c>
      <x:c r="N144" t="n">
        <x:v>0.04375</x:v>
      </x:c>
      <x:c r="O144" t="n">
        <x:v>0.391407</x:v>
      </x:c>
      <x:c r="P144" t="n">
        <x:v>2830948808478</x:v>
      </x:c>
      <x:c r="Q144" t="n">
        <x:v>2</x:v>
      </x:c>
      <x:c r="R144" t="n">
        <x:v>0.13125</x:v>
      </x:c>
      <x:c r="S144" t="n">
        <x:v>145431991980</x:v>
      </x:c>
      <x:c r="T144" t="n">
        <x:v>0</x:v>
      </x:c>
    </x:row>
    <x:row r="145">
      <x:c r="A145" t="str">
        <x:v>LN00144</x:v>
      </x:c>
      <x:c r="B145" t="str">
        <x:v>Retail Mortgage</x:v>
      </x:c>
      <x:c r="C145" t="str">
        <x:v>Retail</x:v>
      </x:c>
      <x:c r="D145" t="str">
        <x:v>Dong Nai</x:v>
      </x:c>
      <x:c r="E145" t="str">
        <x:v>BB</x:v>
      </x:c>
      <x:c r="F145" t="n">
        <x:v>1070000000000</x:v>
      </x:c>
      <x:c r="G145" t="n">
        <x:v>266419517845</x:v>
      </x:c>
      <x:c r="H145" t="str">
        <x:v>Real Estate</x:v>
      </x:c>
      <x:c r="I145" t="n">
        <x:v>0.6236</x:v>
      </x:c>
      <x:c r="J145" t="n">
        <x:v>1.042</x:v>
      </x:c>
      <x:c r="K145" t="n">
        <x:v>2.075</x:v>
      </x:c>
      <x:c r="L145" t="n">
        <x:v>0</x:v>
      </x:c>
      <x:c r="M145" t="n">
        <x:v>0</x:v>
      </x:c>
      <x:c r="N145" t="n">
        <x:v>0.061956</x:v>
      </x:c>
      <x:c r="O145" t="n">
        <x:v>0.46827</x:v>
      </x:c>
      <x:c r="P145" t="n">
        <x:v>1269814638383</x:v>
      </x:c>
      <x:c r="Q145" t="n">
        <x:v>1</x:v>
      </x:c>
      <x:c r="R145" t="n">
        <x:v>0.092934</x:v>
      </x:c>
      <x:c r="S145" t="n">
        <x:v>36839838119</x:v>
      </x:c>
      <x:c r="T145" t="n">
        <x:v>0</x:v>
      </x:c>
    </x:row>
    <x:row r="146">
      <x:c r="A146" t="str">
        <x:v>LN00145</x:v>
      </x:c>
      <x:c r="B146" t="str">
        <x:v>Large Corporate</x:v>
      </x:c>
      <x:c r="C146" t="str">
        <x:v>Transport</x:v>
      </x:c>
      <x:c r="D146" t="str">
        <x:v>Binh Duong</x:v>
      </x:c>
      <x:c r="E146" t="str">
        <x:v>CCC</x:v>
      </x:c>
      <x:c r="F146" t="n">
        <x:v>2965000000000</x:v>
      </x:c>
      <x:c r="G146" t="n">
        <x:v>856180825781</x:v>
      </x:c>
      <x:c r="H146" t="str">
        <x:v>Receivables</x:v>
      </x:c>
      <x:c r="I146" t="n">
        <x:v>0.7288</x:v>
      </x:c>
      <x:c r="J146" t="n">
        <x:v>1.82</x:v>
      </x:c>
      <x:c r="K146" t="n">
        <x:v>3.438</x:v>
      </x:c>
      <x:c r="L146" t="n">
        <x:v>65</x:v>
      </x:c>
      <x:c r="M146" t="n">
        <x:v>0</x:v>
      </x:c>
      <x:c r="N146" t="n">
        <x:v>0.598042</x:v>
      </x:c>
      <x:c r="O146" t="n">
        <x:v>0.505087</x:v>
      </x:c>
      <x:c r="P146" t="n">
        <x:v>3307472330312</x:v>
      </x:c>
      <x:c r="Q146" t="n">
        <x:v>2</x:v>
      </x:c>
      <x:c r="R146" t="n">
        <x:v>0.99</x:v>
      </x:c>
      <x:c r="S146" t="n">
        <x:v>1653854195970</x:v>
      </x:c>
      <x:c r="T146" t="n">
        <x:v>0</x:v>
      </x:c>
    </x:row>
    <x:row r="147">
      <x:c r="A147" t="str">
        <x:v>LN00146</x:v>
      </x:c>
      <x:c r="B147" t="str">
        <x:v>Consumer Finance</x:v>
      </x:c>
      <x:c r="C147" t="str">
        <x:v>Construction</x:v>
      </x:c>
      <x:c r="D147" t="str">
        <x:v>Dong Nai</x:v>
      </x:c>
      <x:c r="E147" t="str">
        <x:v>AA</x:v>
      </x:c>
      <x:c r="F147" t="n">
        <x:v>200000000000</x:v>
      </x:c>
      <x:c r="G147" t="n">
        <x:v>68790495921</x:v>
      </x:c>
      <x:c r="H147" t="str">
        <x:v>Unsecured</x:v>
      </x:c>
      <x:c r="I147" t="n">
        <x:v>0.6225</x:v>
      </x:c>
      <x:c r="J147" t="n">
        <x:v>0.899</x:v>
      </x:c>
      <x:c r="K147" t="n">
        <x:v>4.608</x:v>
      </x:c>
      <x:c r="L147" t="n">
        <x:v>0</x:v>
      </x:c>
      <x:c r="M147" t="n">
        <x:v>0</x:v>
      </x:c>
      <x:c r="N147" t="n">
        <x:v>0.00717</x:v>
      </x:c>
      <x:c r="O147" t="n">
        <x:v>0.667872</x:v>
      </x:c>
      <x:c r="P147" t="n">
        <x:v>251592871940</x:v>
      </x:c>
      <x:c r="Q147" t="n">
        <x:v>1</x:v>
      </x:c>
      <x:c r="R147" t="n">
        <x:v>0.010755</x:v>
      </x:c>
      <x:c r="S147" t="n">
        <x:v>1204820522</x:v>
      </x:c>
      <x:c r="T147" t="n">
        <x:v>0</x:v>
      </x:c>
    </x:row>
    <x:row r="148">
      <x:c r="A148" t="str">
        <x:v>LN00147</x:v>
      </x:c>
      <x:c r="B148" t="str">
        <x:v>Consumer Finance</x:v>
      </x:c>
      <x:c r="C148" t="str">
        <x:v>Healthcare</x:v>
      </x:c>
      <x:c r="D148" t="str">
        <x:v>Hanoi</x:v>
      </x:c>
      <x:c r="E148" t="str">
        <x:v>BB</x:v>
      </x:c>
      <x:c r="F148" t="n">
        <x:v>2000000000000</x:v>
      </x:c>
      <x:c r="G148" t="n">
        <x:v>14158590182</x:v>
      </x:c>
      <x:c r="H148" t="str">
        <x:v>Unsecured</x:v>
      </x:c>
      <x:c r="I148" t="n">
        <x:v>0.6483</x:v>
      </x:c>
      <x:c r="J148" t="n">
        <x:v>1.686</x:v>
      </x:c>
      <x:c r="K148" t="n">
        <x:v>5.428</x:v>
      </x:c>
      <x:c r="L148" t="n">
        <x:v>0</x:v>
      </x:c>
      <x:c r="M148" t="n">
        <x:v>0</x:v>
      </x:c>
      <x:c r="N148" t="n">
        <x:v>0.071027</x:v>
      </x:c>
      <x:c r="O148" t="n">
        <x:v>0.676908</x:v>
      </x:c>
      <x:c r="P148" t="n">
        <x:v>2010618942636</x:v>
      </x:c>
      <x:c r="Q148" t="n">
        <x:v>1</x:v>
      </x:c>
      <x:c r="R148" t="n">
        <x:v>0.106541</x:v>
      </x:c>
      <x:c r="S148" t="n">
        <x:v>96668301131</x:v>
      </x:c>
      <x:c r="T148" t="n">
        <x:v>0</x:v>
      </x:c>
    </x:row>
    <x:row r="149">
      <x:c r="A149" t="str">
        <x:v>LN00148</x:v>
      </x:c>
      <x:c r="B149" t="str">
        <x:v>Large Corporate</x:v>
      </x:c>
      <x:c r="C149" t="str">
        <x:v>Agriculture</x:v>
      </x:c>
      <x:c r="D149" t="str">
        <x:v>Da Nang</x:v>
      </x:c>
      <x:c r="E149" t="str">
        <x:v>B</x:v>
      </x:c>
      <x:c r="F149" t="n">
        <x:v>2540000000000</x:v>
      </x:c>
      <x:c r="G149" t="n">
        <x:v>601739191312</x:v>
      </x:c>
      <x:c r="H149" t="str">
        <x:v>Machinery</x:v>
      </x:c>
      <x:c r="I149" t="n">
        <x:v>0.8134</x:v>
      </x:c>
      <x:c r="J149" t="n">
        <x:v>1.973</x:v>
      </x:c>
      <x:c r="K149" t="n">
        <x:v>2.187</x:v>
      </x:c>
      <x:c r="L149" t="n">
        <x:v>0</x:v>
      </x:c>
      <x:c r="M149" t="n">
        <x:v>0</x:v>
      </x:c>
      <x:c r="N149" t="n">
        <x:v>0.12</x:v>
      </x:c>
      <x:c r="O149" t="n">
        <x:v>0.534688</x:v>
      </x:c>
      <x:c r="P149" t="n">
        <x:v>2780695676524</x:v>
      </x:c>
      <x:c r="Q149" t="n">
        <x:v>1</x:v>
      </x:c>
      <x:c r="R149" t="n">
        <x:v>0.18</x:v>
      </x:c>
      <x:c r="S149" t="n">
        <x:v>178416500901</x:v>
      </x:c>
      <x:c r="T149" t="n">
        <x:v>0</x:v>
      </x:c>
    </x:row>
    <x:row r="150">
      <x:c r="A150" t="str">
        <x:v>LN00149</x:v>
      </x:c>
      <x:c r="B150" t="str">
        <x:v>SME</x:v>
      </x:c>
      <x:c r="C150" t="str">
        <x:v>Construction</x:v>
      </x:c>
      <x:c r="D150" t="str">
        <x:v>Binh Duong</x:v>
      </x:c>
      <x:c r="E150" t="str">
        <x:v>BB</x:v>
      </x:c>
      <x:c r="F150" t="n">
        <x:v>131000000000</x:v>
      </x:c>
      <x:c r="G150" t="n">
        <x:v>5511854794</x:v>
      </x:c>
      <x:c r="H150" t="str">
        <x:v>Unsecured</x:v>
      </x:c>
      <x:c r="I150" t="n">
        <x:v>0.6659</x:v>
      </x:c>
      <x:c r="J150" t="n">
        <x:v>2.28</x:v>
      </x:c>
      <x:c r="K150" t="n">
        <x:v>3.381</x:v>
      </x:c>
      <x:c r="L150" t="n">
        <x:v>0</x:v>
      </x:c>
      <x:c r="M150" t="n">
        <x:v>1</x:v>
      </x:c>
      <x:c r="N150" t="n">
        <x:v>0.071265</x:v>
      </x:c>
      <x:c r="O150" t="n">
        <x:v>0.683054</x:v>
      </x:c>
      <x:c r="P150" t="n">
        <x:v>133204741917</x:v>
      </x:c>
      <x:c r="Q150" t="n">
        <x:v>1</x:v>
      </x:c>
      <x:c r="R150" t="n">
        <x:v>0.106897</x:v>
      </x:c>
      <x:c r="S150" t="n">
        <x:v>6484115694</x:v>
      </x:c>
      <x:c r="T150" t="n">
        <x:v>0</x:v>
      </x:c>
    </x:row>
    <x:row r="151">
      <x:c r="A151" t="str">
        <x:v>LN00150</x:v>
      </x:c>
      <x:c r="B151" t="str">
        <x:v>Large Corporate</x:v>
      </x:c>
      <x:c r="C151" t="str">
        <x:v>Retail</x:v>
      </x:c>
      <x:c r="D151" t="str">
        <x:v>Hanoi</x:v>
      </x:c>
      <x:c r="E151" t="str">
        <x:v>B</x:v>
      </x:c>
      <x:c r="F151" t="n">
        <x:v>2323000000000</x:v>
      </x:c>
      <x:c r="G151" t="n">
        <x:v>497064225689</x:v>
      </x:c>
      <x:c r="H151" t="str">
        <x:v>Unsecured</x:v>
      </x:c>
      <x:c r="I151" t="n">
        <x:v>1.0573</x:v>
      </x:c>
      <x:c r="J151" t="n">
        <x:v>2.007</x:v>
      </x:c>
      <x:c r="K151" t="n">
        <x:v>3.359</x:v>
      </x:c>
      <x:c r="L151" t="n">
        <x:v>0</x:v>
      </x:c>
      <x:c r="M151" t="n">
        <x:v>0</x:v>
      </x:c>
      <x:c r="N151" t="n">
        <x:v>0.125165</x:v>
      </x:c>
      <x:c r="O151" t="n">
        <x:v>0.820052</x:v>
      </x:c>
      <x:c r="P151" t="n">
        <x:v>2521825690275</x:v>
      </x:c>
      <x:c r="Q151" t="n">
        <x:v>1</x:v>
      </x:c>
      <x:c r="R151" t="n">
        <x:v>0.187748</x:v>
      </x:c>
      <x:c r="S151" t="n">
        <x:v>258845586840</x:v>
      </x:c>
      <x:c r="T151" t="n">
        <x:v>0</x:v>
      </x:c>
    </x:row>
    <x:row r="152">
      <x:c r="A152" t="str">
        <x:v>LN00151</x:v>
      </x:c>
      <x:c r="B152" t="str">
        <x:v>Large Corporate</x:v>
      </x:c>
      <x:c r="C152" t="str">
        <x:v>Healthcare</x:v>
      </x:c>
      <x:c r="D152" t="str">
        <x:v>Binh Duong</x:v>
      </x:c>
      <x:c r="E152" t="str">
        <x:v>CCC</x:v>
      </x:c>
      <x:c r="F152" t="n">
        <x:v>1633000000000</x:v>
      </x:c>
      <x:c r="G152" t="n">
        <x:v>682583749845</x:v>
      </x:c>
      <x:c r="H152" t="str">
        <x:v>Unsecured</x:v>
      </x:c>
      <x:c r="I152" t="n">
        <x:v>0.7715</x:v>
      </x:c>
      <x:c r="J152" t="n">
        <x:v>2.475</x:v>
      </x:c>
      <x:c r="K152" t="n">
        <x:v>0.711</x:v>
      </x:c>
      <x:c r="L152" t="n">
        <x:v>0</x:v>
      </x:c>
      <x:c r="M152" t="n">
        <x:v>1</x:v>
      </x:c>
      <x:c r="N152" t="n">
        <x:v>0.35</x:v>
      </x:c>
      <x:c r="O152" t="n">
        <x:v>0.72002</x:v>
      </x:c>
      <x:c r="P152" t="n">
        <x:v>1906033499938</x:v>
      </x:c>
      <x:c r="Q152" t="n">
        <x:v>1</x:v>
      </x:c>
      <x:c r="R152" t="n">
        <x:v>0.525</x:v>
      </x:c>
      <x:c r="S152" t="n">
        <x:v>480333700883</x:v>
      </x:c>
      <x:c r="T152" t="n">
        <x:v>0</x:v>
      </x:c>
    </x:row>
    <x:row r="153">
      <x:c r="A153" t="str">
        <x:v>LN00152</x:v>
      </x:c>
      <x:c r="B153" t="str">
        <x:v>Large Corporate</x:v>
      </x:c>
      <x:c r="C153" t="str">
        <x:v>Transport</x:v>
      </x:c>
      <x:c r="D153" t="str">
        <x:v>Hai Phong</x:v>
      </x:c>
      <x:c r="E153" t="str">
        <x:v>BB</x:v>
      </x:c>
      <x:c r="F153" t="n">
        <x:v>952000000000</x:v>
      </x:c>
      <x:c r="G153" t="n">
        <x:v>359288223321</x:v>
      </x:c>
      <x:c r="H153" t="str">
        <x:v>Receivables</x:v>
      </x:c>
      <x:c r="I153" t="n">
        <x:v>0.6263</x:v>
      </x:c>
      <x:c r="J153" t="n">
        <x:v>1.293</x:v>
      </x:c>
      <x:c r="K153" t="n">
        <x:v>5.219</x:v>
      </x:c>
      <x:c r="L153" t="n">
        <x:v>15</x:v>
      </x:c>
      <x:c r="M153" t="n">
        <x:v>0</x:v>
      </x:c>
      <x:c r="N153" t="n">
        <x:v>0.083394</x:v>
      </x:c>
      <x:c r="O153" t="n">
        <x:v>0.469211</x:v>
      </x:c>
      <x:c r="P153" t="n">
        <x:v>1095715289328</x:v>
      </x:c>
      <x:c r="Q153" t="n">
        <x:v>1</x:v>
      </x:c>
      <x:c r="R153" t="n">
        <x:v>0.125091</x:v>
      </x:c>
      <x:c r="S153" t="n">
        <x:v>42874767830</x:v>
      </x:c>
      <x:c r="T153" t="n">
        <x:v>0</x:v>
      </x:c>
    </x:row>
    <x:row r="154">
      <x:c r="A154" t="str">
        <x:v>LN00153</x:v>
      </x:c>
      <x:c r="B154" t="str">
        <x:v>Consumer Finance</x:v>
      </x:c>
      <x:c r="C154" t="str">
        <x:v>Agriculture</x:v>
      </x:c>
      <x:c r="D154" t="str">
        <x:v>Da Nang</x:v>
      </x:c>
      <x:c r="E154" t="str">
        <x:v>BBB</x:v>
      </x:c>
      <x:c r="F154" t="n">
        <x:v>762000000000</x:v>
      </x:c>
      <x:c r="G154" t="n">
        <x:v>233067366838</x:v>
      </x:c>
      <x:c r="H154" t="str">
        <x:v>Receivables</x:v>
      </x:c>
      <x:c r="I154" t="n">
        <x:v>0.8049</x:v>
      </x:c>
      <x:c r="J154" t="n">
        <x:v>1.603</x:v>
      </x:c>
      <x:c r="K154" t="n">
        <x:v>1.36</x:v>
      </x:c>
      <x:c r="L154" t="n">
        <x:v>0</x:v>
      </x:c>
      <x:c r="M154" t="n">
        <x:v>1</x:v>
      </x:c>
      <x:c r="N154" t="n">
        <x:v>0.03125</x:v>
      </x:c>
      <x:c r="O154" t="n">
        <x:v>0.531729</x:v>
      </x:c>
      <x:c r="P154" t="n">
        <x:v>936800525128</x:v>
      </x:c>
      <x:c r="Q154" t="n">
        <x:v>1</x:v>
      </x:c>
      <x:c r="R154" t="n">
        <x:v>0.046875</x:v>
      </x:c>
      <x:c r="S154" t="n">
        <x:v>15566369227</x:v>
      </x:c>
      <x:c r="T154" t="n">
        <x:v>0</x:v>
      </x:c>
    </x:row>
    <x:row r="155">
      <x:c r="A155" t="str">
        <x:v>LN00154</x:v>
      </x:c>
      <x:c r="B155" t="str">
        <x:v>Large Corporate</x:v>
      </x:c>
      <x:c r="C155" t="str">
        <x:v>Construction</x:v>
      </x:c>
      <x:c r="D155" t="str">
        <x:v>Binh Duong</x:v>
      </x:c>
      <x:c r="E155" t="str">
        <x:v>BBB</x:v>
      </x:c>
      <x:c r="F155" t="n">
        <x:v>1823000000000</x:v>
      </x:c>
      <x:c r="G155" t="n">
        <x:v>295258318948</x:v>
      </x:c>
      <x:c r="H155" t="str">
        <x:v>Inventory</x:v>
      </x:c>
      <x:c r="I155" t="n">
        <x:v>0.7695</x:v>
      </x:c>
      <x:c r="J155" t="n">
        <x:v>1.764</x:v>
      </x:c>
      <x:c r="K155" t="n">
        <x:v>3.941</x:v>
      </x:c>
      <x:c r="L155" t="n">
        <x:v>0</x:v>
      </x:c>
      <x:c r="M155" t="n">
        <x:v>0</x:v>
      </x:c>
      <x:c r="N155" t="n">
        <x:v>0.027822</x:v>
      </x:c>
      <x:c r="O155" t="n">
        <x:v>0.519311</x:v>
      </x:c>
      <x:c r="P155" t="n">
        <x:v>1941103327579</x:v>
      </x:c>
      <x:c r="Q155" t="n">
        <x:v>1</x:v>
      </x:c>
      <x:c r="R155" t="n">
        <x:v>0.041733</x:v>
      </x:c>
      <x:c r="S155" t="n">
        <x:v>28045769311</x:v>
      </x:c>
      <x:c r="T155" t="n">
        <x:v>0</x:v>
      </x:c>
    </x:row>
    <x:row r="156">
      <x:c r="A156" t="str">
        <x:v>LN00155</x:v>
      </x:c>
      <x:c r="B156" t="str">
        <x:v>Retail Mortgage</x:v>
      </x:c>
      <x:c r="C156" t="str">
        <x:v>Healthcare</x:v>
      </x:c>
      <x:c r="D156" t="str">
        <x:v>Da Nang</x:v>
      </x:c>
      <x:c r="E156" t="str">
        <x:v>A</x:v>
      </x:c>
      <x:c r="F156" t="n">
        <x:v>52000000000</x:v>
      </x:c>
      <x:c r="G156" t="n">
        <x:v>6829228020</x:v>
      </x:c>
      <x:c r="H156" t="str">
        <x:v>Receivables</x:v>
      </x:c>
      <x:c r="I156" t="n">
        <x:v>0.7859</x:v>
      </x:c>
      <x:c r="J156" t="n">
        <x:v>1.95</x:v>
      </x:c>
      <x:c r="K156" t="n">
        <x:v>5.671</x:v>
      </x:c>
      <x:c r="L156" t="n">
        <x:v>0</x:v>
      </x:c>
      <x:c r="M156" t="n">
        <x:v>0</x:v>
      </x:c>
      <x:c r="N156" t="n">
        <x:v>0.015847</x:v>
      </x:c>
      <x:c r="O156" t="n">
        <x:v>0.52507</x:v>
      </x:c>
      <x:c r="P156" t="n">
        <x:v>57121921015</x:v>
      </x:c>
      <x:c r="Q156" t="n">
        <x:v>1</x:v>
      </x:c>
      <x:c r="R156" t="n">
        <x:v>0.02377</x:v>
      </x:c>
      <x:c r="S156" t="n">
        <x:v>475290188</x:v>
      </x:c>
      <x:c r="T156" t="n">
        <x:v>0</x:v>
      </x:c>
    </x:row>
    <x:row r="157">
      <x:c r="A157" t="str">
        <x:v>LN00156</x:v>
      </x:c>
      <x:c r="B157" t="str">
        <x:v>Large Corporate</x:v>
      </x:c>
      <x:c r="C157" t="str">
        <x:v>Construction</x:v>
      </x:c>
      <x:c r="D157" t="str">
        <x:v>Da Nang</x:v>
      </x:c>
      <x:c r="E157" t="str">
        <x:v>BBB</x:v>
      </x:c>
      <x:c r="F157" t="n">
        <x:v>1726000000000</x:v>
      </x:c>
      <x:c r="G157" t="n">
        <x:v>232817575620</x:v>
      </x:c>
      <x:c r="H157" t="str">
        <x:v>Inventory</x:v>
      </x:c>
      <x:c r="I157" t="n">
        <x:v>0.8144</x:v>
      </x:c>
      <x:c r="J157" t="n">
        <x:v>1.906</x:v>
      </x:c>
      <x:c r="K157" t="n">
        <x:v>1.903</x:v>
      </x:c>
      <x:c r="L157" t="n">
        <x:v>0</x:v>
      </x:c>
      <x:c r="M157" t="n">
        <x:v>0</x:v>
      </x:c>
      <x:c r="N157" t="n">
        <x:v>0.025</x:v>
      </x:c>
      <x:c r="O157" t="n">
        <x:v>0.535033</x:v>
      </x:c>
      <x:c r="P157" t="n">
        <x:v>1819127030248</x:v>
      </x:c>
      <x:c r="Q157" t="n">
        <x:v>1</x:v>
      </x:c>
      <x:c r="R157" t="n">
        <x:v>0.0375</x:v>
      </x:c>
      <x:c r="S157" t="n">
        <x:v>24332327998</x:v>
      </x:c>
      <x:c r="T157" t="n">
        <x:v>0</x:v>
      </x:c>
    </x:row>
    <x:row r="158">
      <x:c r="A158" t="str">
        <x:v>LN00157</x:v>
      </x:c>
      <x:c r="B158" t="str">
        <x:v>Large Corporate</x:v>
      </x:c>
      <x:c r="C158" t="str">
        <x:v>Energy</x:v>
      </x:c>
      <x:c r="D158" t="str">
        <x:v>HCMC</x:v>
      </x:c>
      <x:c r="E158" t="str">
        <x:v>AAA</x:v>
      </x:c>
      <x:c r="F158" t="n">
        <x:v>1558000000000</x:v>
      </x:c>
      <x:c r="G158" t="n">
        <x:v>563738007478</x:v>
      </x:c>
      <x:c r="H158" t="str">
        <x:v>Cash</x:v>
      </x:c>
      <x:c r="I158" t="n">
        <x:v>0.7635</x:v>
      </x:c>
      <x:c r="J158" t="n">
        <x:v>2.236</x:v>
      </x:c>
      <x:c r="K158" t="n">
        <x:v>4.309</x:v>
      </x:c>
      <x:c r="L158" t="n">
        <x:v>0</x:v>
      </x:c>
      <x:c r="M158" t="n">
        <x:v>2</x:v>
      </x:c>
      <x:c r="N158" t="n">
        <x:v>0.003314</x:v>
      </x:c>
      <x:c r="O158" t="n">
        <x:v>0.367213</x:v>
      </x:c>
      <x:c r="P158" t="n">
        <x:v>1783495202991</x:v>
      </x:c>
      <x:c r="Q158" t="n">
        <x:v>2</x:v>
      </x:c>
      <x:c r="R158" t="n">
        <x:v>0.009943</x:v>
      </x:c>
      <x:c r="S158" t="n">
        <x:v>6511633588</x:v>
      </x:c>
      <x:c r="T158" t="n">
        <x:v>0</x:v>
      </x:c>
    </x:row>
    <x:row r="159">
      <x:c r="A159" t="str">
        <x:v>LN00158</x:v>
      </x:c>
      <x:c r="B159" t="str">
        <x:v>Large Corporate</x:v>
      </x:c>
      <x:c r="C159" t="str">
        <x:v>Transport</x:v>
      </x:c>
      <x:c r="D159" t="str">
        <x:v>Binh Duong</x:v>
      </x:c>
      <x:c r="E159" t="str">
        <x:v>CCC</x:v>
      </x:c>
      <x:c r="F159" t="n">
        <x:v>2594000000000</x:v>
      </x:c>
      <x:c r="G159" t="n">
        <x:v>573152836338</x:v>
      </x:c>
      <x:c r="H159" t="str">
        <x:v>Unsecured</x:v>
      </x:c>
      <x:c r="I159" t="n">
        <x:v>0.8326</x:v>
      </x:c>
      <x:c r="J159" t="n">
        <x:v>1.436</x:v>
      </x:c>
      <x:c r="K159" t="n">
        <x:v>2.721</x:v>
      </x:c>
      <x:c r="L159" t="n">
        <x:v>0</x:v>
      </x:c>
      <x:c r="M159" t="n">
        <x:v>0</x:v>
      </x:c>
      <x:c r="N159" t="n">
        <x:v>0.28</x:v>
      </x:c>
      <x:c r="O159" t="n">
        <x:v>0.741394</x:v>
      </x:c>
      <x:c r="P159" t="n">
        <x:v>2823261134535</x:v>
      </x:c>
      <x:c r="Q159" t="n">
        <x:v>1</x:v>
      </x:c>
      <x:c r="R159" t="n">
        <x:v>0.42</x:v>
      </x:c>
      <x:c r="S159" t="n">
        <x:v>586081793090</x:v>
      </x:c>
      <x:c r="T159" t="n">
        <x:v>0</x:v>
      </x:c>
    </x:row>
    <x:row r="160">
      <x:c r="A160" t="str">
        <x:v>LN00159</x:v>
      </x:c>
      <x:c r="B160" t="str">
        <x:v>Large Corporate</x:v>
      </x:c>
      <x:c r="C160" t="str">
        <x:v>Agriculture</x:v>
      </x:c>
      <x:c r="D160" t="str">
        <x:v>Dong Nai</x:v>
      </x:c>
      <x:c r="E160" t="str">
        <x:v>A</x:v>
      </x:c>
      <x:c r="F160" t="n">
        <x:v>1892000000000</x:v>
      </x:c>
      <x:c r="G160" t="n">
        <x:v>802848842986</x:v>
      </x:c>
      <x:c r="H160" t="str">
        <x:v>Unsecured</x:v>
      </x:c>
      <x:c r="I160" t="n">
        <x:v>0.9397</x:v>
      </x:c>
      <x:c r="J160" t="n">
        <x:v>2.752</x:v>
      </x:c>
      <x:c r="K160" t="n">
        <x:v>3.459</x:v>
      </x:c>
      <x:c r="L160" t="n">
        <x:v>5</x:v>
      </x:c>
      <x:c r="M160" t="n">
        <x:v>0</x:v>
      </x:c>
      <x:c r="N160" t="n">
        <x:v>0.013661</x:v>
      </x:c>
      <x:c r="O160" t="n">
        <x:v>0.778888</x:v>
      </x:c>
      <x:c r="P160" t="n">
        <x:v>2213139537194</x:v>
      </x:c>
      <x:c r="Q160" t="n">
        <x:v>1</x:v>
      </x:c>
      <x:c r="R160" t="n">
        <x:v>0.020492</x:v>
      </x:c>
      <x:c r="S160" t="n">
        <x:v>23548800793</x:v>
      </x:c>
      <x:c r="T160" t="n">
        <x:v>0</x:v>
      </x:c>
    </x:row>
    <x:row r="161">
      <x:c r="A161" t="str">
        <x:v>LN00160</x:v>
      </x:c>
      <x:c r="B161" t="str">
        <x:v>Retail Mortgage</x:v>
      </x:c>
      <x:c r="C161" t="str">
        <x:v>Energy</x:v>
      </x:c>
      <x:c r="D161" t="str">
        <x:v>Dong Nai</x:v>
      </x:c>
      <x:c r="E161" t="str">
        <x:v>A</x:v>
      </x:c>
      <x:c r="F161" t="n">
        <x:v>1841000000000</x:v>
      </x:c>
      <x:c r="G161" t="n">
        <x:v>820745924030</x:v>
      </x:c>
      <x:c r="H161" t="str">
        <x:v>Real Estate</x:v>
      </x:c>
      <x:c r="I161" t="n">
        <x:v>0.359</x:v>
      </x:c>
      <x:c r="J161" t="n">
        <x:v>1.248</x:v>
      </x:c>
      <x:c r="K161" t="n">
        <x:v>3.384</x:v>
      </x:c>
      <x:c r="L161" t="n">
        <x:v>5</x:v>
      </x:c>
      <x:c r="M161" t="n">
        <x:v>0</x:v>
      </x:c>
      <x:c r="N161" t="n">
        <x:v>0.013553</x:v>
      </x:c>
      <x:c r="O161" t="n">
        <x:v>0.375664</x:v>
      </x:c>
      <x:c r="P161" t="n">
        <x:v>2456559443022</x:v>
      </x:c>
      <x:c r="Q161" t="n">
        <x:v>1</x:v>
      </x:c>
      <x:c r="R161" t="n">
        <x:v>0.02033</x:v>
      </x:c>
      <x:c r="S161" t="n">
        <x:v>12507675273</x:v>
      </x:c>
      <x:c r="T161" t="n">
        <x:v>0</x:v>
      </x:c>
    </x:row>
    <x:row r="162">
      <x:c r="A162" t="str">
        <x:v>LN00161</x:v>
      </x:c>
      <x:c r="B162" t="str">
        <x:v>SME</x:v>
      </x:c>
      <x:c r="C162" t="str">
        <x:v>Agriculture</x:v>
      </x:c>
      <x:c r="D162" t="str">
        <x:v>Hanoi</x:v>
      </x:c>
      <x:c r="E162" t="str">
        <x:v>B</x:v>
      </x:c>
      <x:c r="F162" t="n">
        <x:v>449000000000</x:v>
      </x:c>
      <x:c r="G162" t="n">
        <x:v>155367165382</x:v>
      </x:c>
      <x:c r="H162" t="str">
        <x:v>Real Estate</x:v>
      </x:c>
      <x:c r="I162" t="n">
        <x:v>0.5473</x:v>
      </x:c>
      <x:c r="J162" t="n">
        <x:v>1.369</x:v>
      </x:c>
      <x:c r="K162" t="n">
        <x:v>2.946</x:v>
      </x:c>
      <x:c r="L162" t="n">
        <x:v>0</x:v>
      </x:c>
      <x:c r="M162" t="n">
        <x:v>1</x:v>
      </x:c>
      <x:c r="N162" t="n">
        <x:v>0.15</x:v>
      </x:c>
      <x:c r="O162" t="n">
        <x:v>0.441544</x:v>
      </x:c>
      <x:c r="P162" t="n">
        <x:v>511146866152</x:v>
      </x:c>
      <x:c r="Q162" t="n">
        <x:v>1</x:v>
      </x:c>
      <x:c r="R162" t="n">
        <x:v>0.225</x:v>
      </x:c>
      <x:c r="S162" t="n">
        <x:v>33854052250</x:v>
      </x:c>
      <x:c r="T162" t="n">
        <x:v>0</x:v>
      </x:c>
    </x:row>
    <x:row r="163">
      <x:c r="A163" t="str">
        <x:v>LN00162</x:v>
      </x:c>
      <x:c r="B163" t="str">
        <x:v>Large Corporate</x:v>
      </x:c>
      <x:c r="C163" t="str">
        <x:v>F&amp;B</x:v>
      </x:c>
      <x:c r="D163" t="str">
        <x:v>Hai Phong</x:v>
      </x:c>
      <x:c r="E163" t="str">
        <x:v>AAA</x:v>
      </x:c>
      <x:c r="F163" t="n">
        <x:v>2126000000000</x:v>
      </x:c>
      <x:c r="G163" t="n">
        <x:v>533832301415</x:v>
      </x:c>
      <x:c r="H163" t="str">
        <x:v>Unsecured</x:v>
      </x:c>
      <x:c r="I163" t="n">
        <x:v>0.8191</x:v>
      </x:c>
      <x:c r="J163" t="n">
        <x:v>1.652</x:v>
      </x:c>
      <x:c r="K163" t="n">
        <x:v>2.285</x:v>
      </x:c>
      <x:c r="L163" t="n">
        <x:v>5</x:v>
      </x:c>
      <x:c r="M163" t="n">
        <x:v>0</x:v>
      </x:c>
      <x:c r="N163" t="n">
        <x:v>0.002167</x:v>
      </x:c>
      <x:c r="O163" t="n">
        <x:v>0.736673</x:v>
      </x:c>
      <x:c r="P163" t="n">
        <x:v>2339532920566</x:v>
      </x:c>
      <x:c r="Q163" t="n">
        <x:v>1</x:v>
      </x:c>
      <x:c r="R163" t="n">
        <x:v>0.00325</x:v>
      </x:c>
      <x:c r="S163" t="n">
        <x:v>3734188748</x:v>
      </x:c>
      <x:c r="T163" t="n">
        <x:v>0</x:v>
      </x:c>
    </x:row>
    <x:row r="164">
      <x:c r="A164" t="str">
        <x:v>LN00163</x:v>
      </x:c>
      <x:c r="B164" t="str">
        <x:v>Consumer Finance</x:v>
      </x:c>
      <x:c r="C164" t="str">
        <x:v>Energy</x:v>
      </x:c>
      <x:c r="D164" t="str">
        <x:v>Da Nang</x:v>
      </x:c>
      <x:c r="E164" t="str">
        <x:v>A</x:v>
      </x:c>
      <x:c r="F164" t="n">
        <x:v>477000000000</x:v>
      </x:c>
      <x:c r="G164" t="n">
        <x:v>178442353901</x:v>
      </x:c>
      <x:c r="H164" t="str">
        <x:v>Real Estate</x:v>
      </x:c>
      <x:c r="I164" t="n">
        <x:v>0.627</x:v>
      </x:c>
      <x:c r="J164" t="n">
        <x:v>1.295</x:v>
      </x:c>
      <x:c r="K164" t="n">
        <x:v>1.847</x:v>
      </x:c>
      <x:c r="L164" t="n">
        <x:v>0</x:v>
      </x:c>
      <x:c r="M164" t="n">
        <x:v>1</x:v>
      </x:c>
      <x:c r="N164" t="n">
        <x:v>0.015</x:v>
      </x:c>
      <x:c r="O164" t="n">
        <x:v>0.469442</x:v>
      </x:c>
      <x:c r="P164" t="n">
        <x:v>610831765425</x:v>
      </x:c>
      <x:c r="Q164" t="n">
        <x:v>1</x:v>
      </x:c>
      <x:c r="R164" t="n">
        <x:v>0.0225</x:v>
      </x:c>
      <x:c r="S164" t="n">
        <x:v>4301248769</x:v>
      </x:c>
      <x:c r="T164" t="n">
        <x:v>0</x:v>
      </x:c>
    </x:row>
    <x:row r="165">
      <x:c r="A165" t="str">
        <x:v>LN00164</x:v>
      </x:c>
      <x:c r="B165" t="str">
        <x:v>Large Corporate</x:v>
      </x:c>
      <x:c r="C165" t="str">
        <x:v>Construction</x:v>
      </x:c>
      <x:c r="D165" t="str">
        <x:v>HCMC</x:v>
      </x:c>
      <x:c r="E165" t="str">
        <x:v>AA</x:v>
      </x:c>
      <x:c r="F165" t="n">
        <x:v>2656000000000</x:v>
      </x:c>
      <x:c r="G165" t="n">
        <x:v>130710277269</x:v>
      </x:c>
      <x:c r="H165" t="str">
        <x:v>Inventory</x:v>
      </x:c>
      <x:c r="I165" t="n">
        <x:v>0.8255</x:v>
      </x:c>
      <x:c r="J165" t="n">
        <x:v>2.192</x:v>
      </x:c>
      <x:c r="K165" t="n">
        <x:v>0.2</x:v>
      </x:c>
      <x:c r="L165" t="n">
        <x:v>0</x:v>
      </x:c>
      <x:c r="M165" t="n">
        <x:v>0</x:v>
      </x:c>
      <x:c r="N165" t="n">
        <x:v>0.005</x:v>
      </x:c>
      <x:c r="O165" t="n">
        <x:v>0.538931</x:v>
      </x:c>
      <x:c r="P165" t="n">
        <x:v>2708284110907</x:v>
      </x:c>
      <x:c r="Q165" t="n">
        <x:v>1</x:v>
      </x:c>
      <x:c r="R165" t="n">
        <x:v>0.0075</x:v>
      </x:c>
      <x:c r="S165" t="n">
        <x:v>7297895480</x:v>
      </x:c>
      <x:c r="T165" t="n">
        <x:v>0</x:v>
      </x:c>
    </x:row>
    <x:row r="166">
      <x:c r="A166" t="str">
        <x:v>LN00165</x:v>
      </x:c>
      <x:c r="B166" t="str">
        <x:v>Large Corporate</x:v>
      </x:c>
      <x:c r="C166" t="str">
        <x:v>Manufacturing</x:v>
      </x:c>
      <x:c r="D166" t="str">
        <x:v>Hanoi</x:v>
      </x:c>
      <x:c r="E166" t="str">
        <x:v>B</x:v>
      </x:c>
      <x:c r="F166" t="n">
        <x:v>1772000000000</x:v>
      </x:c>
      <x:c r="G166" t="n">
        <x:v>315437388319</x:v>
      </x:c>
      <x:c r="H166" t="str">
        <x:v>Unsecured</x:v>
      </x:c>
      <x:c r="I166" t="n">
        <x:v>0.8172</x:v>
      </x:c>
      <x:c r="J166" t="n">
        <x:v>0.664</x:v>
      </x:c>
      <x:c r="K166" t="n">
        <x:v>1.79</x:v>
      </x:c>
      <x:c r="L166" t="n">
        <x:v>0</x:v>
      </x:c>
      <x:c r="M166" t="n">
        <x:v>1</x:v>
      </x:c>
      <x:c r="N166" t="n">
        <x:v>0.201454</x:v>
      </x:c>
      <x:c r="O166" t="n">
        <x:v>0.736019</x:v>
      </x:c>
      <x:c r="P166" t="n">
        <x:v>1898174955327</x:v>
      </x:c>
      <x:c r="Q166" t="n">
        <x:v>1</x:v>
      </x:c>
      <x:c r="R166" t="n">
        <x:v>0.302181</x:v>
      </x:c>
      <x:c r="S166" t="n">
        <x:v>281449769363</x:v>
      </x:c>
      <x:c r="T166" t="n">
        <x:v>0</x:v>
      </x:c>
    </x:row>
    <x:row r="167">
      <x:c r="A167" t="str">
        <x:v>LN00166</x:v>
      </x:c>
      <x:c r="B167" t="str">
        <x:v>Large Corporate</x:v>
      </x:c>
      <x:c r="C167" t="str">
        <x:v>Agriculture</x:v>
      </x:c>
      <x:c r="D167" t="str">
        <x:v>Da Nang</x:v>
      </x:c>
      <x:c r="E167" t="str">
        <x:v>B</x:v>
      </x:c>
      <x:c r="F167" t="n">
        <x:v>809000000000</x:v>
      </x:c>
      <x:c r="G167" t="n">
        <x:v>166571231204</x:v>
      </x:c>
      <x:c r="H167" t="str">
        <x:v>Inventory</x:v>
      </x:c>
      <x:c r="I167" t="n">
        <x:v>0.8539</x:v>
      </x:c>
      <x:c r="J167" t="n">
        <x:v>1.715</x:v>
      </x:c>
      <x:c r="K167" t="n">
        <x:v>5.981</x:v>
      </x:c>
      <x:c r="L167" t="n">
        <x:v>0</x:v>
      </x:c>
      <x:c r="M167" t="n">
        <x:v>0</x:v>
      </x:c>
      <x:c r="N167" t="n">
        <x:v>0.162929</x:v>
      </x:c>
      <x:c r="O167" t="n">
        <x:v>0.548861</x:v>
      </x:c>
      <x:c r="P167" t="n">
        <x:v>875628492481</x:v>
      </x:c>
      <x:c r="Q167" t="n">
        <x:v>1</x:v>
      </x:c>
      <x:c r="R167" t="n">
        <x:v>0.244393</x:v>
      </x:c>
      <x:c r="S167" t="n">
        <x:v>78303317893</x:v>
      </x:c>
      <x:c r="T167" t="n">
        <x:v>0</x:v>
      </x:c>
    </x:row>
    <x:row r="168">
      <x:c r="A168" t="str">
        <x:v>LN00167</x:v>
      </x:c>
      <x:c r="B168" t="str">
        <x:v>Large Corporate</x:v>
      </x:c>
      <x:c r="C168" t="str">
        <x:v>Healthcare</x:v>
      </x:c>
      <x:c r="D168" t="str">
        <x:v>HCMC</x:v>
      </x:c>
      <x:c r="E168" t="str">
        <x:v>B</x:v>
      </x:c>
      <x:c r="F168" t="n">
        <x:v>2893000000000</x:v>
      </x:c>
      <x:c r="G168" t="n">
        <x:v>1042278532899</x:v>
      </x:c>
      <x:c r="H168" t="str">
        <x:v>Unsecured</x:v>
      </x:c>
      <x:c r="I168" t="n">
        <x:v>1.083</x:v>
      </x:c>
      <x:c r="J168" t="n">
        <x:v>1.441</x:v>
      </x:c>
      <x:c r="K168" t="n">
        <x:v>2.63</x:v>
      </x:c>
      <x:c r="L168" t="n">
        <x:v>0</x:v>
      </x:c>
      <x:c r="M168" t="n">
        <x:v>0</x:v>
      </x:c>
      <x:c r="N168" t="n">
        <x:v>0.12</x:v>
      </x:c>
      <x:c r="O168" t="n">
        <x:v>0.829056</x:v>
      </x:c>
      <x:c r="P168" t="n">
        <x:v>3309911413159</x:v>
      </x:c>
      <x:c r="Q168" t="n">
        <x:v>1</x:v>
      </x:c>
      <x:c r="R168" t="n">
        <x:v>0.18</x:v>
      </x:c>
      <x:c r="S168" t="n">
        <x:v>329292384331</x:v>
      </x:c>
      <x:c r="T168" t="n">
        <x:v>0</x:v>
      </x:c>
    </x:row>
    <x:row r="169">
      <x:c r="A169" t="str">
        <x:v>LN00168</x:v>
      </x:c>
      <x:c r="B169" t="str">
        <x:v>Large Corporate</x:v>
      </x:c>
      <x:c r="C169" t="str">
        <x:v>Energy</x:v>
      </x:c>
      <x:c r="D169" t="str">
        <x:v>Can Tho</x:v>
      </x:c>
      <x:c r="E169" t="str">
        <x:v>BB</x:v>
      </x:c>
      <x:c r="F169" t="n">
        <x:v>2203000000000</x:v>
      </x:c>
      <x:c r="G169" t="n">
        <x:v>687434731714</x:v>
      </x:c>
      <x:c r="H169" t="str">
        <x:v>Unsecured</x:v>
      </x:c>
      <x:c r="I169" t="n">
        <x:v>0.9495</x:v>
      </x:c>
      <x:c r="J169" t="n">
        <x:v>0.357</x:v>
      </x:c>
      <x:c r="K169" t="n">
        <x:v>0.2</x:v>
      </x:c>
      <x:c r="L169" t="n">
        <x:v>0</x:v>
      </x:c>
      <x:c r="M169" t="n">
        <x:v>0</x:v>
      </x:c>
      <x:c r="N169" t="n">
        <x:v>0.09211</x:v>
      </x:c>
      <x:c r="O169" t="n">
        <x:v>0.782322</x:v>
      </x:c>
      <x:c r="P169" t="n">
        <x:v>2477973892685</x:v>
      </x:c>
      <x:c r="Q169" t="n">
        <x:v>1</x:v>
      </x:c>
      <x:c r="R169" t="n">
        <x:v>0.138165</x:v>
      </x:c>
      <x:c r="S169" t="n">
        <x:v>178561703500</x:v>
      </x:c>
      <x:c r="T169" t="n">
        <x:v>0</x:v>
      </x:c>
    </x:row>
    <x:row r="170">
      <x:c r="A170" t="str">
        <x:v>LN00169</x:v>
      </x:c>
      <x:c r="B170" t="str">
        <x:v>SME</x:v>
      </x:c>
      <x:c r="C170" t="str">
        <x:v>Real Estate</x:v>
      </x:c>
      <x:c r="D170" t="str">
        <x:v>Hanoi</x:v>
      </x:c>
      <x:c r="E170" t="str">
        <x:v>BBB</x:v>
      </x:c>
      <x:c r="F170" t="n">
        <x:v>1574000000000</x:v>
      </x:c>
      <x:c r="G170" t="n">
        <x:v>682680144032</x:v>
      </x:c>
      <x:c r="H170" t="str">
        <x:v>Machinery</x:v>
      </x:c>
      <x:c r="I170" t="n">
        <x:v>0.6164</x:v>
      </x:c>
      <x:c r="J170" t="n">
        <x:v>1.778</x:v>
      </x:c>
      <x:c r="K170" t="n">
        <x:v>2.621</x:v>
      </x:c>
      <x:c r="L170" t="n">
        <x:v>0</x:v>
      </x:c>
      <x:c r="M170" t="n">
        <x:v>0</x:v>
      </x:c>
      <x:c r="N170" t="n">
        <x:v>0.025</x:v>
      </x:c>
      <x:c r="O170" t="n">
        <x:v>0.465726</x:v>
      </x:c>
      <x:c r="P170" t="n">
        <x:v>1847072057612</x:v>
      </x:c>
      <x:c r="Q170" t="n">
        <x:v>1</x:v>
      </x:c>
      <x:c r="R170" t="n">
        <x:v>0.0375</x:v>
      </x:c>
      <x:c r="S170" t="n">
        <x:v>21505752797</x:v>
      </x:c>
      <x:c r="T170" t="n">
        <x:v>0</x:v>
      </x:c>
    </x:row>
    <x:row r="171">
      <x:c r="A171" t="str">
        <x:v>LN00170</x:v>
      </x:c>
      <x:c r="B171" t="str">
        <x:v>Large Corporate</x:v>
      </x:c>
      <x:c r="C171" t="str">
        <x:v>Agriculture</x:v>
      </x:c>
      <x:c r="D171" t="str">
        <x:v>Can Tho</x:v>
      </x:c>
      <x:c r="E171" t="str">
        <x:v>BBB</x:v>
      </x:c>
      <x:c r="F171" t="n">
        <x:v>2318000000000</x:v>
      </x:c>
      <x:c r="G171" t="n">
        <x:v>774520788587</x:v>
      </x:c>
      <x:c r="H171" t="str">
        <x:v>Receivables</x:v>
      </x:c>
      <x:c r="I171" t="n">
        <x:v>0.6543</x:v>
      </x:c>
      <x:c r="J171" t="n">
        <x:v>1.869</x:v>
      </x:c>
      <x:c r="K171" t="n">
        <x:v>1.44</x:v>
      </x:c>
      <x:c r="L171" t="n">
        <x:v>15</x:v>
      </x:c>
      <x:c r="M171" t="n">
        <x:v>1</x:v>
      </x:c>
      <x:c r="N171" t="n">
        <x:v>0.0375</x:v>
      </x:c>
      <x:c r="O171" t="n">
        <x:v>0.479013</x:v>
      </x:c>
      <x:c r="P171" t="n">
        <x:v>2627808315434</x:v>
      </x:c>
      <x:c r="Q171" t="n">
        <x:v>1</x:v>
      </x:c>
      <x:c r="R171" t="n">
        <x:v>0.05625</x:v>
      </x:c>
      <x:c r="S171" t="n">
        <x:v>47203301937</x:v>
      </x:c>
      <x:c r="T171" t="n">
        <x:v>0</x:v>
      </x:c>
    </x:row>
    <x:row r="172">
      <x:c r="A172" t="str">
        <x:v>LN00171</x:v>
      </x:c>
      <x:c r="B172" t="str">
        <x:v>Large Corporate</x:v>
      </x:c>
      <x:c r="C172" t="str">
        <x:v>Agriculture</x:v>
      </x:c>
      <x:c r="D172" t="str">
        <x:v>HCMC</x:v>
      </x:c>
      <x:c r="E172" t="str">
        <x:v>BB</x:v>
      </x:c>
      <x:c r="F172" t="n">
        <x:v>421000000000</x:v>
      </x:c>
      <x:c r="G172" t="n">
        <x:v>139433058766</x:v>
      </x:c>
      <x:c r="H172" t="str">
        <x:v>Receivables</x:v>
      </x:c>
      <x:c r="I172" t="n">
        <x:v>0.7642</x:v>
      </x:c>
      <x:c r="J172" t="n">
        <x:v>1.459</x:v>
      </x:c>
      <x:c r="K172" t="n">
        <x:v>3.453</x:v>
      </x:c>
      <x:c r="L172" t="n">
        <x:v>0</x:v>
      </x:c>
      <x:c r="M172" t="n">
        <x:v>1</x:v>
      </x:c>
      <x:c r="N172" t="n">
        <x:v>0.07174</x:v>
      </x:c>
      <x:c r="O172" t="n">
        <x:v>0.517463</x:v>
      </x:c>
      <x:c r="P172" t="n">
        <x:v>476773223506</x:v>
      </x:c>
      <x:c r="Q172" t="n">
        <x:v>1</x:v>
      </x:c>
      <x:c r="R172" t="n">
        <x:v>0.107611</x:v>
      </x:c>
      <x:c r="S172" t="n">
        <x:v>17699252920</x:v>
      </x:c>
      <x:c r="T172" t="n">
        <x:v>0</x:v>
      </x:c>
    </x:row>
    <x:row r="173">
      <x:c r="A173" t="str">
        <x:v>LN00172</x:v>
      </x:c>
      <x:c r="B173" t="str">
        <x:v>SME</x:v>
      </x:c>
      <x:c r="C173" t="str">
        <x:v>Healthcare</x:v>
      </x:c>
      <x:c r="D173" t="str">
        <x:v>HCMC</x:v>
      </x:c>
      <x:c r="E173" t="str">
        <x:v>B</x:v>
      </x:c>
      <x:c r="F173" t="n">
        <x:v>2501000000000</x:v>
      </x:c>
      <x:c r="G173" t="n">
        <x:v>712151706576</x:v>
      </x:c>
      <x:c r="H173" t="str">
        <x:v>Unsecured</x:v>
      </x:c>
      <x:c r="I173" t="n">
        <x:v>1.2469</x:v>
      </x:c>
      <x:c r="J173" t="n">
        <x:v>1.952</x:v>
      </x:c>
      <x:c r="K173" t="n">
        <x:v>3.862</x:v>
      </x:c>
      <x:c r="L173" t="n">
        <x:v>0</x:v>
      </x:c>
      <x:c r="M173" t="n">
        <x:v>0</x:v>
      </x:c>
      <x:c r="N173" t="n">
        <x:v>0.132417</x:v>
      </x:c>
      <x:c r="O173" t="n">
        <x:v>0.886415</x:v>
      </x:c>
      <x:c r="P173" t="n">
        <x:v>2785860682630</x:v>
      </x:c>
      <x:c r="Q173" t="n">
        <x:v>1</x:v>
      </x:c>
      <x:c r="R173" t="n">
        <x:v>0.198625</x:v>
      </x:c>
      <x:c r="S173" t="n">
        <x:v>326993852539</x:v>
      </x:c>
      <x:c r="T173" t="n">
        <x:v>0</x:v>
      </x:c>
    </x:row>
    <x:row r="174">
      <x:c r="A174" t="str">
        <x:v>LN00173</x:v>
      </x:c>
      <x:c r="B174" t="str">
        <x:v>Large Corporate</x:v>
      </x:c>
      <x:c r="C174" t="str">
        <x:v>F&amp;B</x:v>
      </x:c>
      <x:c r="D174" t="str">
        <x:v>HCMC</x:v>
      </x:c>
      <x:c r="E174" t="str">
        <x:v>BBB</x:v>
      </x:c>
      <x:c r="F174" t="n">
        <x:v>2109000000000</x:v>
      </x:c>
      <x:c r="G174" t="n">
        <x:v>935277673261</x:v>
      </x:c>
      <x:c r="H174" t="str">
        <x:v>Inventory</x:v>
      </x:c>
      <x:c r="I174" t="n">
        <x:v>0.8115</x:v>
      </x:c>
      <x:c r="J174" t="n">
        <x:v>1.578</x:v>
      </x:c>
      <x:c r="K174" t="n">
        <x:v>5.59</x:v>
      </x:c>
      <x:c r="L174" t="n">
        <x:v>35</x:v>
      </x:c>
      <x:c r="M174" t="n">
        <x:v>0</x:v>
      </x:c>
      <x:c r="N174" t="n">
        <x:v>0.047354</x:v>
      </x:c>
      <x:c r="O174" t="n">
        <x:v>0.534042</x:v>
      </x:c>
      <x:c r="P174" t="n">
        <x:v>2483111069304</x:v>
      </x:c>
      <x:c r="Q174" t="n">
        <x:v>2</x:v>
      </x:c>
      <x:c r="R174" t="n">
        <x:v>0.142063</x:v>
      </x:c>
      <x:c r="S174" t="n">
        <x:v>188387712020</x:v>
      </x:c>
      <x:c r="T174" t="n">
        <x:v>0</x:v>
      </x:c>
    </x:row>
    <x:row r="175">
      <x:c r="A175" t="str">
        <x:v>LN00174</x:v>
      </x:c>
      <x:c r="B175" t="str">
        <x:v>Retail Mortgage</x:v>
      </x:c>
      <x:c r="C175" t="str">
        <x:v>Retail</x:v>
      </x:c>
      <x:c r="D175" t="str">
        <x:v>Dong Nai</x:v>
      </x:c>
      <x:c r="E175" t="str">
        <x:v>BB</x:v>
      </x:c>
      <x:c r="F175" t="n">
        <x:v>1610000000000</x:v>
      </x:c>
      <x:c r="G175" t="n">
        <x:v>354612846925</x:v>
      </x:c>
      <x:c r="H175" t="str">
        <x:v>Unsecured</x:v>
      </x:c>
      <x:c r="I175" t="n">
        <x:v>0.5444</x:v>
      </x:c>
      <x:c r="J175" t="n">
        <x:v>1.415</x:v>
      </x:c>
      <x:c r="K175" t="n">
        <x:v>2.682</x:v>
      </x:c>
      <x:c r="L175" t="n">
        <x:v>5</x:v>
      </x:c>
      <x:c r="M175" t="n">
        <x:v>2</x:v>
      </x:c>
      <x:c r="N175" t="n">
        <x:v>0.087083</x:v>
      </x:c>
      <x:c r="O175" t="n">
        <x:v>0.640547</x:v>
      </x:c>
      <x:c r="P175" t="n">
        <x:v>1875959635193</x:v>
      </x:c>
      <x:c r="Q175" t="n">
        <x:v>2</x:v>
      </x:c>
      <x:c r="R175" t="n">
        <x:v>0.26125</x:v>
      </x:c>
      <x:c r="S175" t="n">
        <x:v>313928433058</x:v>
      </x:c>
      <x:c r="T175" t="n">
        <x:v>0</x:v>
      </x:c>
    </x:row>
    <x:row r="176">
      <x:c r="A176" t="str">
        <x:v>LN00175</x:v>
      </x:c>
      <x:c r="B176" t="str">
        <x:v>SME</x:v>
      </x:c>
      <x:c r="C176" t="str">
        <x:v>Transport</x:v>
      </x:c>
      <x:c r="D176" t="str">
        <x:v>Can Tho</x:v>
      </x:c>
      <x:c r="E176" t="str">
        <x:v>BBB</x:v>
      </x:c>
      <x:c r="F176" t="n">
        <x:v>1342000000000</x:v>
      </x:c>
      <x:c r="G176" t="n">
        <x:v>351442953425</x:v>
      </x:c>
      <x:c r="H176" t="str">
        <x:v>Receivables</x:v>
      </x:c>
      <x:c r="I176" t="n">
        <x:v>1.1134</x:v>
      </x:c>
      <x:c r="J176" t="n">
        <x:v>1.018</x:v>
      </x:c>
      <x:c r="K176" t="n">
        <x:v>6.323</x:v>
      </x:c>
      <x:c r="L176" t="n">
        <x:v>35</x:v>
      </x:c>
      <x:c r="M176" t="n">
        <x:v>1</x:v>
      </x:c>
      <x:c r="N176" t="n">
        <x:v>0.059445</x:v>
      </x:c>
      <x:c r="O176" t="n">
        <x:v>0.639697</x:v>
      </x:c>
      <x:c r="P176" t="n">
        <x:v>1482577181370</x:v>
      </x:c>
      <x:c r="Q176" t="n">
        <x:v>2</x:v>
      </x:c>
      <x:c r="R176" t="n">
        <x:v>0.178334</x:v>
      </x:c>
      <x:c r="S176" t="n">
        <x:v>169132163871</x:v>
      </x:c>
      <x:c r="T176" t="n">
        <x:v>0</x:v>
      </x:c>
    </x:row>
    <x:row r="177">
      <x:c r="A177" t="str">
        <x:v>LN00176</x:v>
      </x:c>
      <x:c r="B177" t="str">
        <x:v>Large Corporate</x:v>
      </x:c>
      <x:c r="C177" t="str">
        <x:v>F&amp;B</x:v>
      </x:c>
      <x:c r="D177" t="str">
        <x:v>Hanoi</x:v>
      </x:c>
      <x:c r="E177" t="str">
        <x:v>A</x:v>
      </x:c>
      <x:c r="F177" t="n">
        <x:v>1385000000000</x:v>
      </x:c>
      <x:c r="G177" t="n">
        <x:v>341111291216</x:v>
      </x:c>
      <x:c r="H177" t="str">
        <x:v>Inventory</x:v>
      </x:c>
      <x:c r="I177" t="n">
        <x:v>0.6183</x:v>
      </x:c>
      <x:c r="J177" t="n">
        <x:v>2.534</x:v>
      </x:c>
      <x:c r="K177" t="n">
        <x:v>5.203</x:v>
      </x:c>
      <x:c r="L177" t="n">
        <x:v>15</x:v>
      </x:c>
      <x:c r="M177" t="n">
        <x:v>0</x:v>
      </x:c>
      <x:c r="N177" t="n">
        <x:v>0.018173</x:v>
      </x:c>
      <x:c r="O177" t="n">
        <x:v>0.466397</x:v>
      </x:c>
      <x:c r="P177" t="n">
        <x:v>1521444516486</x:v>
      </x:c>
      <x:c r="Q177" t="n">
        <x:v>1</x:v>
      </x:c>
      <x:c r="R177" t="n">
        <x:v>0.027259</x:v>
      </x:c>
      <x:c r="S177" t="n">
        <x:v>12895469533</x:v>
      </x:c>
      <x:c r="T177" t="n">
        <x:v>0</x:v>
      </x:c>
    </x:row>
    <x:row r="178">
      <x:c r="A178" t="str">
        <x:v>LN00177</x:v>
      </x:c>
      <x:c r="B178" t="str">
        <x:v>SME</x:v>
      </x:c>
      <x:c r="C178" t="str">
        <x:v>Manufacturing</x:v>
      </x:c>
      <x:c r="D178" t="str">
        <x:v>Hanoi</x:v>
      </x:c>
      <x:c r="E178" t="str">
        <x:v>A</x:v>
      </x:c>
      <x:c r="F178" t="n">
        <x:v>1754000000000</x:v>
      </x:c>
      <x:c r="G178" t="n">
        <x:v>159689760309</x:v>
      </x:c>
      <x:c r="H178" t="str">
        <x:v>Real Estate</x:v>
      </x:c>
      <x:c r="I178" t="n">
        <x:v>0.61</x:v>
      </x:c>
      <x:c r="J178" t="n">
        <x:v>1.529</x:v>
      </x:c>
      <x:c r="K178" t="n">
        <x:v>2.716</x:v>
      </x:c>
      <x:c r="L178" t="n">
        <x:v>5</x:v>
      </x:c>
      <x:c r="M178" t="n">
        <x:v>0</x:v>
      </x:c>
      <x:c r="N178" t="n">
        <x:v>0.013</x:v>
      </x:c>
      <x:c r="O178" t="n">
        <x:v>0.463488</x:v>
      </x:c>
      <x:c r="P178" t="n">
        <x:v>1817875904123</x:v>
      </x:c>
      <x:c r="Q178" t="n">
        <x:v>1</x:v>
      </x:c>
      <x:c r="R178" t="n">
        <x:v>0.0195</x:v>
      </x:c>
      <x:c r="S178" t="n">
        <x:v>10953319272</x:v>
      </x:c>
      <x:c r="T178" t="n">
        <x:v>0</x:v>
      </x:c>
    </x:row>
    <x:row r="179">
      <x:c r="A179" t="str">
        <x:v>LN00178</x:v>
      </x:c>
      <x:c r="B179" t="str">
        <x:v>Retail Mortgage</x:v>
      </x:c>
      <x:c r="C179" t="str">
        <x:v>F&amp;B</x:v>
      </x:c>
      <x:c r="D179" t="str">
        <x:v>Can Tho</x:v>
      </x:c>
      <x:c r="E179" t="str">
        <x:v>BBB</x:v>
      </x:c>
      <x:c r="F179" t="n">
        <x:v>1760000000000</x:v>
      </x:c>
      <x:c r="G179" t="n">
        <x:v>519144300879</x:v>
      </x:c>
      <x:c r="H179" t="str">
        <x:v>Machinery</x:v>
      </x:c>
      <x:c r="I179" t="n">
        <x:v>0.7843</x:v>
      </x:c>
      <x:c r="J179" t="n">
        <x:v>1.793</x:v>
      </x:c>
      <x:c r="K179" t="n">
        <x:v>3.137</x:v>
      </x:c>
      <x:c r="L179" t="n">
        <x:v>0</x:v>
      </x:c>
      <x:c r="M179" t="n">
        <x:v>0</x:v>
      </x:c>
      <x:c r="N179" t="n">
        <x:v>0.025412</x:v>
      </x:c>
      <x:c r="O179" t="n">
        <x:v>0.524519</x:v>
      </x:c>
      <x:c r="P179" t="n">
        <x:v>2149358225659</x:v>
      </x:c>
      <x:c r="Q179" t="n">
        <x:v>1</x:v>
      </x:c>
      <x:c r="R179" t="n">
        <x:v>0.038119</x:v>
      </x:c>
      <x:c r="S179" t="n">
        <x:v>28649433325</x:v>
      </x:c>
      <x:c r="T179" t="n">
        <x:v>0</x:v>
      </x:c>
    </x:row>
    <x:row r="180">
      <x:c r="A180" t="str">
        <x:v>LN00179</x:v>
      </x:c>
      <x:c r="B180" t="str">
        <x:v>SME</x:v>
      </x:c>
      <x:c r="C180" t="str">
        <x:v>Energy</x:v>
      </x:c>
      <x:c r="D180" t="str">
        <x:v>Hanoi</x:v>
      </x:c>
      <x:c r="E180" t="str">
        <x:v>A</x:v>
      </x:c>
      <x:c r="F180" t="n">
        <x:v>292000000000</x:v>
      </x:c>
      <x:c r="G180" t="n">
        <x:v>30083618384</x:v>
      </x:c>
      <x:c r="H180" t="str">
        <x:v>Receivables</x:v>
      </x:c>
      <x:c r="I180" t="n">
        <x:v>1.1566</x:v>
      </x:c>
      <x:c r="J180" t="n">
        <x:v>2.33</x:v>
      </x:c>
      <x:c r="K180" t="n">
        <x:v>4.268</x:v>
      </x:c>
      <x:c r="L180" t="n">
        <x:v>15</x:v>
      </x:c>
      <x:c r="M180" t="n">
        <x:v>1</x:v>
      </x:c>
      <x:c r="N180" t="n">
        <x:v>0.019826</x:v>
      </x:c>
      <x:c r="O180" t="n">
        <x:v>0.654814</x:v>
      </x:c>
      <x:c r="P180" t="n">
        <x:v>304033447353</x:v>
      </x:c>
      <x:c r="Q180" t="n">
        <x:v>1</x:v>
      </x:c>
      <x:c r="R180" t="n">
        <x:v>0.029739</x:v>
      </x:c>
      <x:c r="S180" t="n">
        <x:v>3947093002</x:v>
      </x:c>
      <x:c r="T180" t="n">
        <x:v>0</x:v>
      </x:c>
    </x:row>
    <x:row r="181">
      <x:c r="A181" t="str">
        <x:v>LN00180</x:v>
      </x:c>
      <x:c r="B181" t="str">
        <x:v>SME</x:v>
      </x:c>
      <x:c r="C181" t="str">
        <x:v>Real Estate</x:v>
      </x:c>
      <x:c r="D181" t="str">
        <x:v>Can Tho</x:v>
      </x:c>
      <x:c r="E181" t="str">
        <x:v>BB</x:v>
      </x:c>
      <x:c r="F181" t="n">
        <x:v>1804000000000</x:v>
      </x:c>
      <x:c r="G181" t="n">
        <x:v>285094190143</x:v>
      </x:c>
      <x:c r="H181" t="str">
        <x:v>Machinery</x:v>
      </x:c>
      <x:c r="I181" t="n">
        <x:v>1.0371</x:v>
      </x:c>
      <x:c r="J181" t="n">
        <x:v>2.01</x:v>
      </x:c>
      <x:c r="K181" t="n">
        <x:v>5.463</x:v>
      </x:c>
      <x:c r="L181" t="n">
        <x:v>0</x:v>
      </x:c>
      <x:c r="M181" t="n">
        <x:v>0</x:v>
      </x:c>
      <x:c r="N181" t="n">
        <x:v>0.071256</x:v>
      </x:c>
      <x:c r="O181" t="n">
        <x:v>0.612993</x:v>
      </x:c>
      <x:c r="P181" t="n">
        <x:v>1918037676057</x:v>
      </x:c>
      <x:c r="Q181" t="n">
        <x:v>1</x:v>
      </x:c>
      <x:c r="R181" t="n">
        <x:v>0.106883</x:v>
      </x:c>
      <x:c r="S181" t="n">
        <x:v>83778330902</x:v>
      </x:c>
      <x:c r="T181" t="n">
        <x:v>0</x:v>
      </x:c>
    </x:row>
    <x:row r="182">
      <x:c r="A182" t="str">
        <x:v>LN00181</x:v>
      </x:c>
      <x:c r="B182" t="str">
        <x:v>SME</x:v>
      </x:c>
      <x:c r="C182" t="str">
        <x:v>Energy</x:v>
      </x:c>
      <x:c r="D182" t="str">
        <x:v>HCMC</x:v>
      </x:c>
      <x:c r="E182" t="str">
        <x:v>A</x:v>
      </x:c>
      <x:c r="F182" t="n">
        <x:v>1290000000000</x:v>
      </x:c>
      <x:c r="G182" t="n">
        <x:v>459220001825</x:v>
      </x:c>
      <x:c r="H182" t="str">
        <x:v>Receivables</x:v>
      </x:c>
      <x:c r="I182" t="n">
        <x:v>0.854</x:v>
      </x:c>
      <x:c r="J182" t="n">
        <x:v>2.591</x:v>
      </x:c>
      <x:c r="K182" t="n">
        <x:v>3.222</x:v>
      </x:c>
      <x:c r="L182" t="n">
        <x:v>65</x:v>
      </x:c>
      <x:c r="M182" t="n">
        <x:v>0</x:v>
      </x:c>
      <x:c r="N182" t="n">
        <x:v>0.025319</x:v>
      </x:c>
      <x:c r="O182" t="n">
        <x:v>0.5489</x:v>
      </x:c>
      <x:c r="P182" t="n">
        <x:v>1473688000730</x:v>
      </x:c>
      <x:c r="Q182" t="n">
        <x:v>2</x:v>
      </x:c>
      <x:c r="R182" t="n">
        <x:v>0.075958</x:v>
      </x:c>
      <x:c r="S182" t="n">
        <x:v>61443371933</x:v>
      </x:c>
      <x:c r="T182" t="n">
        <x:v>0</x:v>
      </x:c>
    </x:row>
    <x:row r="183">
      <x:c r="A183" t="str">
        <x:v>LN00182</x:v>
      </x:c>
      <x:c r="B183" t="str">
        <x:v>Large Corporate</x:v>
      </x:c>
      <x:c r="C183" t="str">
        <x:v>Agriculture</x:v>
      </x:c>
      <x:c r="D183" t="str">
        <x:v>Da Nang</x:v>
      </x:c>
      <x:c r="E183" t="str">
        <x:v>BB</x:v>
      </x:c>
      <x:c r="F183" t="n">
        <x:v>1212000000000</x:v>
      </x:c>
      <x:c r="G183" t="n">
        <x:v>352420995089</x:v>
      </x:c>
      <x:c r="H183" t="str">
        <x:v>Receivables</x:v>
      </x:c>
      <x:c r="I183" t="n">
        <x:v>0.6889</x:v>
      </x:c>
      <x:c r="J183" t="n">
        <x:v>2.006</x:v>
      </x:c>
      <x:c r="K183" t="n">
        <x:v>0.768</x:v>
      </x:c>
      <x:c r="L183" t="n">
        <x:v>0</x:v>
      </x:c>
      <x:c r="M183" t="n">
        <x:v>0</x:v>
      </x:c>
      <x:c r="N183" t="n">
        <x:v>0.055</x:v>
      </x:c>
      <x:c r="O183" t="n">
        <x:v>0.491109</x:v>
      </x:c>
      <x:c r="P183" t="n">
        <x:v>1352968398035</x:v>
      </x:c>
      <x:c r="Q183" t="n">
        <x:v>1</x:v>
      </x:c>
      <x:c r="R183" t="n">
        <x:v>0.0825</x:v>
      </x:c>
      <x:c r="S183" t="n">
        <x:v>36545019150</x:v>
      </x:c>
      <x:c r="T183" t="n">
        <x:v>0</x:v>
      </x:c>
    </x:row>
    <x:row r="184">
      <x:c r="A184" t="str">
        <x:v>LN00183</x:v>
      </x:c>
      <x:c r="B184" t="str">
        <x:v>SME</x:v>
      </x:c>
      <x:c r="C184" t="str">
        <x:v>Manufacturing</x:v>
      </x:c>
      <x:c r="D184" t="str">
        <x:v>Binh Duong</x:v>
      </x:c>
      <x:c r="E184" t="str">
        <x:v>CCC</x:v>
      </x:c>
      <x:c r="F184" t="n">
        <x:v>1725000000000</x:v>
      </x:c>
      <x:c r="G184" t="n">
        <x:v>283651424285</x:v>
      </x:c>
      <x:c r="H184" t="str">
        <x:v>Cash</x:v>
      </x:c>
      <x:c r="I184" t="n">
        <x:v>0.7113</x:v>
      </x:c>
      <x:c r="J184" t="n">
        <x:v>0.949</x:v>
      </x:c>
      <x:c r="K184" t="n">
        <x:v>5.504</x:v>
      </x:c>
      <x:c r="L184" t="n">
        <x:v>0</x:v>
      </x:c>
      <x:c r="M184" t="n">
        <x:v>0</x:v>
      </x:c>
      <x:c r="N184" t="n">
        <x:v>0.420425</x:v>
      </x:c>
      <x:c r="O184" t="n">
        <x:v>0.34894</x:v>
      </x:c>
      <x:c r="P184" t="n">
        <x:v>1838460569714</x:v>
      </x:c>
      <x:c r="Q184" t="n">
        <x:v>1</x:v>
      </x:c>
      <x:c r="R184" t="n">
        <x:v>0.630638</x:v>
      </x:c>
      <x:c r="S184" t="n">
        <x:v>269708054233</x:v>
      </x:c>
      <x:c r="T184" t="n">
        <x:v>1</x:v>
      </x:c>
    </x:row>
    <x:row r="185">
      <x:c r="A185" t="str">
        <x:v>LN00184</x:v>
      </x:c>
      <x:c r="B185" t="str">
        <x:v>Retail Mortgage</x:v>
      </x:c>
      <x:c r="C185" t="str">
        <x:v>Agriculture</x:v>
      </x:c>
      <x:c r="D185" t="str">
        <x:v>Binh Duong</x:v>
      </x:c>
      <x:c r="E185" t="str">
        <x:v>BBB</x:v>
      </x:c>
      <x:c r="F185" t="n">
        <x:v>2876000000000</x:v>
      </x:c>
      <x:c r="G185" t="n">
        <x:v>520627424856</x:v>
      </x:c>
      <x:c r="H185" t="str">
        <x:v>Receivables</x:v>
      </x:c>
      <x:c r="I185" t="n">
        <x:v>0.8578</x:v>
      </x:c>
      <x:c r="J185" t="n">
        <x:v>1.366</x:v>
      </x:c>
      <x:c r="K185" t="n">
        <x:v>1.856</x:v>
      </x:c>
      <x:c r="L185" t="n">
        <x:v>0</x:v>
      </x:c>
      <x:c r="M185" t="n">
        <x:v>2</x:v>
      </x:c>
      <x:c r="N185" t="n">
        <x:v>0.0375</x:v>
      </x:c>
      <x:c r="O185" t="n">
        <x:v>0.55024</x:v>
      </x:c>
      <x:c r="P185" t="n">
        <x:v>3266470568642</x:v>
      </x:c>
      <x:c r="Q185" t="n">
        <x:v>2</x:v>
      </x:c>
      <x:c r="R185" t="n">
        <x:v>0.1125</x:v>
      </x:c>
      <x:c r="S185" t="n">
        <x:v>202201039991</x:v>
      </x:c>
      <x:c r="T185" t="n">
        <x:v>0</x:v>
      </x:c>
    </x:row>
    <x:row r="186">
      <x:c r="A186" t="str">
        <x:v>LN00185</x:v>
      </x:c>
      <x:c r="B186" t="str">
        <x:v>SME</x:v>
      </x:c>
      <x:c r="C186" t="str">
        <x:v>Healthcare</x:v>
      </x:c>
      <x:c r="D186" t="str">
        <x:v>Hanoi</x:v>
      </x:c>
      <x:c r="E186" t="str">
        <x:v>BBB</x:v>
      </x:c>
      <x:c r="F186" t="n">
        <x:v>2791000000000</x:v>
      </x:c>
      <x:c r="G186" t="n">
        <x:v>807769981516</x:v>
      </x:c>
      <x:c r="H186" t="str">
        <x:v>Unsecured</x:v>
      </x:c>
      <x:c r="I186" t="n">
        <x:v>0.7708</x:v>
      </x:c>
      <x:c r="J186" t="n">
        <x:v>2.348</x:v>
      </x:c>
      <x:c r="K186" t="n">
        <x:v>4.19</x:v>
      </x:c>
      <x:c r="L186" t="n">
        <x:v>0</x:v>
      </x:c>
      <x:c r="M186" t="n">
        <x:v>0</x:v>
      </x:c>
      <x:c r="N186" t="n">
        <x:v>0.02857</x:v>
      </x:c>
      <x:c r="O186" t="n">
        <x:v>0.719784</x:v>
      </x:c>
      <x:c r="P186" t="n">
        <x:v>3114107992606</x:v>
      </x:c>
      <x:c r="Q186" t="n">
        <x:v>1</x:v>
      </x:c>
      <x:c r="R186" t="n">
        <x:v>0.042854</x:v>
      </x:c>
      <x:c r="S186" t="n">
        <x:v>64038305879</x:v>
      </x:c>
      <x:c r="T186" t="n">
        <x:v>0</x:v>
      </x:c>
    </x:row>
    <x:row r="187">
      <x:c r="A187" t="str">
        <x:v>LN00186</x:v>
      </x:c>
      <x:c r="B187" t="str">
        <x:v>Retail Mortgage</x:v>
      </x:c>
      <x:c r="C187" t="str">
        <x:v>Manufacturing</x:v>
      </x:c>
      <x:c r="D187" t="str">
        <x:v>Can Tho</x:v>
      </x:c>
      <x:c r="E187" t="str">
        <x:v>AAA</x:v>
      </x:c>
      <x:c r="F187" t="n">
        <x:v>2035000000000</x:v>
      </x:c>
      <x:c r="G187" t="n">
        <x:v>872724586756</x:v>
      </x:c>
      <x:c r="H187" t="str">
        <x:v>Machinery</x:v>
      </x:c>
      <x:c r="I187" t="n">
        <x:v>1.3045</x:v>
      </x:c>
      <x:c r="J187" t="n">
        <x:v>0.849</x:v>
      </x:c>
      <x:c r="K187" t="n">
        <x:v>2.847</x:v>
      </x:c>
      <x:c r="L187" t="n">
        <x:v>0</x:v>
      </x:c>
      <x:c r="M187" t="n">
        <x:v>1</x:v>
      </x:c>
      <x:c r="N187" t="n">
        <x:v>0.003062</x:v>
      </x:c>
      <x:c r="O187" t="n">
        <x:v>0.706577</x:v>
      </x:c>
      <x:c r="P187" t="n">
        <x:v>2689543440067</x:v>
      </x:c>
      <x:c r="Q187" t="n">
        <x:v>1</x:v>
      </x:c>
      <x:c r="R187" t="n">
        <x:v>0.004593</x:v>
      </x:c>
      <x:c r="S187" t="n">
        <x:v>5819355586</x:v>
      </x:c>
      <x:c r="T187" t="n">
        <x:v>0</x:v>
      </x:c>
    </x:row>
    <x:row r="188">
      <x:c r="A188" t="str">
        <x:v>LN00187</x:v>
      </x:c>
      <x:c r="B188" t="str">
        <x:v>Retail Mortgage</x:v>
      </x:c>
      <x:c r="C188" t="str">
        <x:v>Transport</x:v>
      </x:c>
      <x:c r="D188" t="str">
        <x:v>Binh Duong</x:v>
      </x:c>
      <x:c r="E188" t="str">
        <x:v>B</x:v>
      </x:c>
      <x:c r="F188" t="n">
        <x:v>2147000000000</x:v>
      </x:c>
      <x:c r="G188" t="n">
        <x:v>61709922291</x:v>
      </x:c>
      <x:c r="H188" t="str">
        <x:v>Inventory</x:v>
      </x:c>
      <x:c r="I188" t="n">
        <x:v>0.7885</x:v>
      </x:c>
      <x:c r="J188" t="n">
        <x:v>1.099</x:v>
      </x:c>
      <x:c r="K188" t="n">
        <x:v>4.566</x:v>
      </x:c>
      <x:c r="L188" t="n">
        <x:v>0</x:v>
      </x:c>
      <x:c r="M188" t="n">
        <x:v>0</x:v>
      </x:c>
      <x:c r="N188" t="n">
        <x:v>0.152242</x:v>
      </x:c>
      <x:c r="O188" t="n">
        <x:v>0.525975</x:v>
      </x:c>
      <x:c r="P188" t="n">
        <x:v>2193282441718</x:v>
      </x:c>
      <x:c r="Q188" t="n">
        <x:v>1</x:v>
      </x:c>
      <x:c r="R188" t="n">
        <x:v>0.228363</x:v>
      </x:c>
      <x:c r="S188" t="n">
        <x:v>175628421880</x:v>
      </x:c>
      <x:c r="T188" t="n">
        <x:v>0</x:v>
      </x:c>
    </x:row>
    <x:row r="189">
      <x:c r="A189" t="str">
        <x:v>LN00188</x:v>
      </x:c>
      <x:c r="B189" t="str">
        <x:v>Large Corporate</x:v>
      </x:c>
      <x:c r="C189" t="str">
        <x:v>Construction</x:v>
      </x:c>
      <x:c r="D189" t="str">
        <x:v>Can Tho</x:v>
      </x:c>
      <x:c r="E189" t="str">
        <x:v>BB</x:v>
      </x:c>
      <x:c r="F189" t="n">
        <x:v>12000000000</x:v>
      </x:c>
      <x:c r="G189" t="n">
        <x:v>237804699</x:v>
      </x:c>
      <x:c r="H189" t="str">
        <x:v>Cash</x:v>
      </x:c>
      <x:c r="I189" t="n">
        <x:v>1.0312</x:v>
      </x:c>
      <x:c r="J189" t="n">
        <x:v>2.068</x:v>
      </x:c>
      <x:c r="K189" t="n">
        <x:v>2.405</x:v>
      </x:c>
      <x:c r="L189" t="n">
        <x:v>0</x:v>
      </x:c>
      <x:c r="M189" t="n">
        <x:v>2</x:v>
      </x:c>
      <x:c r="N189" t="n">
        <x:v>0.0825</x:v>
      </x:c>
      <x:c r="O189" t="n">
        <x:v>0.460928</x:v>
      </x:c>
      <x:c r="P189" t="n">
        <x:v>12095121879</x:v>
      </x:c>
      <x:c r="Q189" t="n">
        <x:v>2</x:v>
      </x:c>
      <x:c r="R189" t="n">
        <x:v>0.2475</x:v>
      </x:c>
      <x:c r="S189" t="n">
        <x:v>1379807877</x:v>
      </x:c>
      <x:c r="T189" t="n">
        <x:v>0</x:v>
      </x:c>
    </x:row>
    <x:row r="190">
      <x:c r="A190" t="str">
        <x:v>LN00189</x:v>
      </x:c>
      <x:c r="B190" t="str">
        <x:v>Large Corporate</x:v>
      </x:c>
      <x:c r="C190" t="str">
        <x:v>Energy</x:v>
      </x:c>
      <x:c r="D190" t="str">
        <x:v>Hanoi</x:v>
      </x:c>
      <x:c r="E190" t="str">
        <x:v>B</x:v>
      </x:c>
      <x:c r="F190" t="n">
        <x:v>1706000000000</x:v>
      </x:c>
      <x:c r="G190" t="n">
        <x:v>703101702999</x:v>
      </x:c>
      <x:c r="H190" t="str">
        <x:v>Machinery</x:v>
      </x:c>
      <x:c r="I190" t="n">
        <x:v>0.6909</x:v>
      </x:c>
      <x:c r="J190" t="n">
        <x:v>2.731</x:v>
      </x:c>
      <x:c r="K190" t="n">
        <x:v>2.564</x:v>
      </x:c>
      <x:c r="L190" t="n">
        <x:v>0</x:v>
      </x:c>
      <x:c r="M190" t="n">
        <x:v>0</x:v>
      </x:c>
      <x:c r="N190" t="n">
        <x:v>0.12</x:v>
      </x:c>
      <x:c r="O190" t="n">
        <x:v>0.49181</x:v>
      </x:c>
      <x:c r="P190" t="n">
        <x:v>1987240681199</x:v>
      </x:c>
      <x:c r="Q190" t="n">
        <x:v>1</x:v>
      </x:c>
      <x:c r="R190" t="n">
        <x:v>0.18</x:v>
      </x:c>
      <x:c r="S190" t="n">
        <x:v>117281394984</x:v>
      </x:c>
      <x:c r="T190" t="n">
        <x:v>0</x:v>
      </x:c>
    </x:row>
    <x:row r="191">
      <x:c r="A191" t="str">
        <x:v>LN00190</x:v>
      </x:c>
      <x:c r="B191" t="str">
        <x:v>Retail Mortgage</x:v>
      </x:c>
      <x:c r="C191" t="str">
        <x:v>F&amp;B</x:v>
      </x:c>
      <x:c r="D191" t="str">
        <x:v>Can Tho</x:v>
      </x:c>
      <x:c r="E191" t="str">
        <x:v>B</x:v>
      </x:c>
      <x:c r="F191" t="n">
        <x:v>1342000000000</x:v>
      </x:c>
      <x:c r="G191" t="n">
        <x:v>52168216997</x:v>
      </x:c>
      <x:c r="H191" t="str">
        <x:v>Inventory</x:v>
      </x:c>
      <x:c r="I191" t="n">
        <x:v>0.7917</x:v>
      </x:c>
      <x:c r="J191" t="n">
        <x:v>1.292</x:v>
      </x:c>
      <x:c r="K191" t="n">
        <x:v>3.561</x:v>
      </x:c>
      <x:c r="L191" t="n">
        <x:v>5</x:v>
      </x:c>
      <x:c r="M191" t="n">
        <x:v>0</x:v>
      </x:c>
      <x:c r="N191" t="n">
        <x:v>0.138073</x:v>
      </x:c>
      <x:c r="O191" t="n">
        <x:v>0.527093</x:v>
      </x:c>
      <x:c r="P191" t="n">
        <x:v>1381126162747</x:v>
      </x:c>
      <x:c r="Q191" t="n">
        <x:v>1</x:v>
      </x:c>
      <x:c r="R191" t="n">
        <x:v>0.207109</x:v>
      </x:c>
      <x:c r="S191" t="n">
        <x:v>100514367011</x:v>
      </x:c>
      <x:c r="T191" t="n">
        <x:v>0</x:v>
      </x:c>
    </x:row>
    <x:row r="192">
      <x:c r="A192" t="str">
        <x:v>LN00191</x:v>
      </x:c>
      <x:c r="B192" t="str">
        <x:v>Retail Mortgage</x:v>
      </x:c>
      <x:c r="C192" t="str">
        <x:v>Agriculture</x:v>
      </x:c>
      <x:c r="D192" t="str">
        <x:v>Hanoi</x:v>
      </x:c>
      <x:c r="E192" t="str">
        <x:v>B</x:v>
      </x:c>
      <x:c r="F192" t="n">
        <x:v>618000000000</x:v>
      </x:c>
      <x:c r="G192" t="n">
        <x:v>1773689193</x:v>
      </x:c>
      <x:c r="H192" t="str">
        <x:v>Machinery</x:v>
      </x:c>
      <x:c r="I192" t="n">
        <x:v>0.727</x:v>
      </x:c>
      <x:c r="J192" t="n">
        <x:v>2.015</x:v>
      </x:c>
      <x:c r="K192" t="n">
        <x:v>1.675</x:v>
      </x:c>
      <x:c r="L192" t="n">
        <x:v>0</x:v>
      </x:c>
      <x:c r="M192" t="n">
        <x:v>0</x:v>
      </x:c>
      <x:c r="N192" t="n">
        <x:v>0.12</x:v>
      </x:c>
      <x:c r="O192" t="n">
        <x:v>0.504445</x:v>
      </x:c>
      <x:c r="P192" t="n">
        <x:v>619330266894</x:v>
      </x:c>
      <x:c r="Q192" t="n">
        <x:v>1</x:v>
      </x:c>
      <x:c r="R192" t="n">
        <x:v>0.18</x:v>
      </x:c>
      <x:c r="S192" t="n">
        <x:v>37490140797</x:v>
      </x:c>
      <x:c r="T192" t="n">
        <x:v>0</x:v>
      </x:c>
    </x:row>
    <x:row r="193">
      <x:c r="A193" t="str">
        <x:v>LN00192</x:v>
      </x:c>
      <x:c r="B193" t="str">
        <x:v>SME</x:v>
      </x:c>
      <x:c r="C193" t="str">
        <x:v>Retail</x:v>
      </x:c>
      <x:c r="D193" t="str">
        <x:v>Binh Duong</x:v>
      </x:c>
      <x:c r="E193" t="str">
        <x:v>A</x:v>
      </x:c>
      <x:c r="F193" t="n">
        <x:v>585000000000</x:v>
      </x:c>
      <x:c r="G193" t="n">
        <x:v>187342513964</x:v>
      </x:c>
      <x:c r="H193" t="str">
        <x:v>Real Estate</x:v>
      </x:c>
      <x:c r="I193" t="n">
        <x:v>0.3075</x:v>
      </x:c>
      <x:c r="J193" t="n">
        <x:v>2.834</x:v>
      </x:c>
      <x:c r="K193" t="n">
        <x:v>4.942</x:v>
      </x:c>
      <x:c r="L193" t="n">
        <x:v>5</x:v>
      </x:c>
      <x:c r="M193" t="n">
        <x:v>0</x:v>
      </x:c>
      <x:c r="N193" t="n">
        <x:v>0.015796</x:v>
      </x:c>
      <x:c r="O193" t="n">
        <x:v>0.35763</x:v>
      </x:c>
      <x:c r="P193" t="n">
        <x:v>659937005585</x:v>
      </x:c>
      <x:c r="Q193" t="n">
        <x:v>1</x:v>
      </x:c>
      <x:c r="R193" t="n">
        <x:v>0.023694</x:v>
      </x:c>
      <x:c r="S193" t="n">
        <x:v>3728086795</x:v>
      </x:c>
      <x:c r="T193" t="n">
        <x:v>0</x:v>
      </x:c>
    </x:row>
    <x:row r="194">
      <x:c r="A194" t="str">
        <x:v>LN00193</x:v>
      </x:c>
      <x:c r="B194" t="str">
        <x:v>SME</x:v>
      </x:c>
      <x:c r="C194" t="str">
        <x:v>Manufacturing</x:v>
      </x:c>
      <x:c r="D194" t="str">
        <x:v>Da Nang</x:v>
      </x:c>
      <x:c r="E194" t="str">
        <x:v>A</x:v>
      </x:c>
      <x:c r="F194" t="n">
        <x:v>308000000000</x:v>
      </x:c>
      <x:c r="G194" t="n">
        <x:v>82036752798</x:v>
      </x:c>
      <x:c r="H194" t="str">
        <x:v>Receivables</x:v>
      </x:c>
      <x:c r="I194" t="n">
        <x:v>1.1225</x:v>
      </x:c>
      <x:c r="J194" t="n">
        <x:v>2.109</x:v>
      </x:c>
      <x:c r="K194" t="n">
        <x:v>3.992</x:v>
      </x:c>
      <x:c r="L194" t="n">
        <x:v>0</x:v>
      </x:c>
      <x:c r="M194" t="n">
        <x:v>1</x:v>
      </x:c>
      <x:c r="N194" t="n">
        <x:v>0.016429</x:v>
      </x:c>
      <x:c r="O194" t="n">
        <x:v>0.642866</x:v>
      </x:c>
      <x:c r="P194" t="n">
        <x:v>340814701119</x:v>
      </x:c>
      <x:c r="Q194" t="n">
        <x:v>1</x:v>
      </x:c>
      <x:c r="R194" t="n">
        <x:v>0.024643</x:v>
      </x:c>
      <x:c r="S194" t="n">
        <x:v>3599490411</x:v>
      </x:c>
      <x:c r="T194" t="n">
        <x:v>0</x:v>
      </x:c>
    </x:row>
    <x:row r="195">
      <x:c r="A195" t="str">
        <x:v>LN00194</x:v>
      </x:c>
      <x:c r="B195" t="str">
        <x:v>Large Corporate</x:v>
      </x:c>
      <x:c r="C195" t="str">
        <x:v>Retail</x:v>
      </x:c>
      <x:c r="D195" t="str">
        <x:v>Hai Phong</x:v>
      </x:c>
      <x:c r="E195" t="str">
        <x:v>BBB</x:v>
      </x:c>
      <x:c r="F195" t="n">
        <x:v>448000000000</x:v>
      </x:c>
      <x:c r="G195" t="n">
        <x:v>31330767146</x:v>
      </x:c>
      <x:c r="H195" t="str">
        <x:v>Cash</x:v>
      </x:c>
      <x:c r="I195" t="n">
        <x:v>0.4823</x:v>
      </x:c>
      <x:c r="J195" t="n">
        <x:v>2.116</x:v>
      </x:c>
      <x:c r="K195" t="n">
        <x:v>4.547</x:v>
      </x:c>
      <x:c r="L195" t="n">
        <x:v>95</x:v>
      </x:c>
      <x:c r="M195" t="n">
        <x:v>0</x:v>
      </x:c>
      <x:c r="N195" t="n">
        <x:v>0.069224</x:v>
      </x:c>
      <x:c r="O195" t="n">
        <x:v>0.268797</x:v>
      </x:c>
      <x:c r="P195" t="n">
        <x:v>460532306858</x:v>
      </x:c>
      <x:c r="Q195" t="n">
        <x:v>3</x:v>
      </x:c>
      <x:c r="R195" t="n">
        <x:v>0.069224</x:v>
      </x:c>
      <x:c r="S195" t="n">
        <x:v>8569163772</x:v>
      </x:c>
      <x:c r="T195" t="n">
        <x:v>1</x:v>
      </x:c>
    </x:row>
    <x:row r="196">
      <x:c r="A196" t="str">
        <x:v>LN00195</x:v>
      </x:c>
      <x:c r="B196" t="str">
        <x:v>Large Corporate</x:v>
      </x:c>
      <x:c r="C196" t="str">
        <x:v>Construction</x:v>
      </x:c>
      <x:c r="D196" t="str">
        <x:v>Can Tho</x:v>
      </x:c>
      <x:c r="E196" t="str">
        <x:v>BBB</x:v>
      </x:c>
      <x:c r="F196" t="n">
        <x:v>1248000000000</x:v>
      </x:c>
      <x:c r="G196" t="n">
        <x:v>464098763946</x:v>
      </x:c>
      <x:c r="H196" t="str">
        <x:v>Unsecured</x:v>
      </x:c>
      <x:c r="I196" t="n">
        <x:v>0.8312</x:v>
      </x:c>
      <x:c r="J196" t="n">
        <x:v>1.651</x:v>
      </x:c>
      <x:c r="K196" t="n">
        <x:v>3.841</x:v>
      </x:c>
      <x:c r="L196" t="n">
        <x:v>0</x:v>
      </x:c>
      <x:c r="M196" t="n">
        <x:v>0</x:v>
      </x:c>
      <x:c r="N196" t="n">
        <x:v>0.027524</x:v>
      </x:c>
      <x:c r="O196" t="n">
        <x:v>0.74092</x:v>
      </x:c>
      <x:c r="P196" t="n">
        <x:v>1433639505578</x:v>
      </x:c>
      <x:c r="Q196" t="n">
        <x:v>1</x:v>
      </x:c>
      <x:c r="R196" t="n">
        <x:v>0.041286</x:v>
      </x:c>
      <x:c r="S196" t="n">
        <x:v>29236555547</x:v>
      </x:c>
      <x:c r="T196" t="n">
        <x:v>0</x:v>
      </x:c>
    </x:row>
    <x:row r="197">
      <x:c r="A197" t="str">
        <x:v>LN00196</x:v>
      </x:c>
      <x:c r="B197" t="str">
        <x:v>Consumer Finance</x:v>
      </x:c>
      <x:c r="C197" t="str">
        <x:v>Real Estate</x:v>
      </x:c>
      <x:c r="D197" t="str">
        <x:v>HCMC</x:v>
      </x:c>
      <x:c r="E197" t="str">
        <x:v>CCC</x:v>
      </x:c>
      <x:c r="F197" t="n">
        <x:v>2279000000000</x:v>
      </x:c>
      <x:c r="G197" t="n">
        <x:v>767191851534</x:v>
      </x:c>
      <x:c r="H197" t="str">
        <x:v>Receivables</x:v>
      </x:c>
      <x:c r="I197" t="n">
        <x:v>0.9319</x:v>
      </x:c>
      <x:c r="J197" t="n">
        <x:v>1.801</x:v>
      </x:c>
      <x:c r="K197" t="n">
        <x:v>4.759</x:v>
      </x:c>
      <x:c r="L197" t="n">
        <x:v>0</x:v>
      </x:c>
      <x:c r="M197" t="n">
        <x:v>1</x:v>
      </x:c>
      <x:c r="N197" t="n">
        <x:v>0.409101</x:v>
      </x:c>
      <x:c r="O197" t="n">
        <x:v>0.576173</x:v>
      </x:c>
      <x:c r="P197" t="n">
        <x:v>2854393888650</x:v>
      </x:c>
      <x:c r="Q197" t="n">
        <x:v>1</x:v>
      </x:c>
      <x:c r="R197" t="n">
        <x:v>0.613651</x:v>
      </x:c>
      <x:c r="S197" t="n">
        <x:v>672816419509</x:v>
      </x:c>
      <x:c r="T197" t="n">
        <x:v>0</x:v>
      </x:c>
    </x:row>
    <x:row r="198">
      <x:c r="A198" t="str">
        <x:v>LN00197</x:v>
      </x:c>
      <x:c r="B198" t="str">
        <x:v>SME</x:v>
      </x:c>
      <x:c r="C198" t="str">
        <x:v>Transport</x:v>
      </x:c>
      <x:c r="D198" t="str">
        <x:v>Hanoi</x:v>
      </x:c>
      <x:c r="E198" t="str">
        <x:v>B</x:v>
      </x:c>
      <x:c r="F198" t="n">
        <x:v>346000000000</x:v>
      </x:c>
      <x:c r="G198" t="n">
        <x:v>90667815880</x:v>
      </x:c>
      <x:c r="H198" t="str">
        <x:v>Unsecured</x:v>
      </x:c>
      <x:c r="I198" t="n">
        <x:v>0.8297</x:v>
      </x:c>
      <x:c r="J198" t="n">
        <x:v>2.805</x:v>
      </x:c>
      <x:c r="K198" t="n">
        <x:v>3.706</x:v>
      </x:c>
      <x:c r="L198" t="n">
        <x:v>0</x:v>
      </x:c>
      <x:c r="M198" t="n">
        <x:v>2</x:v>
      </x:c>
      <x:c r="N198" t="n">
        <x:v>0.190171</x:v>
      </x:c>
      <x:c r="O198" t="n">
        <x:v>0.740402</x:v>
      </x:c>
      <x:c r="P198" t="n">
        <x:v>382267126352</x:v>
      </x:c>
      <x:c r="Q198" t="n">
        <x:v>2</x:v>
      </x:c>
      <x:c r="R198" t="n">
        <x:v>0.570514</x:v>
      </x:c>
      <x:c r="S198" t="n">
        <x:v>161473312308</x:v>
      </x:c>
      <x:c r="T198" t="n">
        <x:v>0</x:v>
      </x:c>
    </x:row>
    <x:row r="199">
      <x:c r="A199" t="str">
        <x:v>LN00198</x:v>
      </x:c>
      <x:c r="B199" t="str">
        <x:v>Large Corporate</x:v>
      </x:c>
      <x:c r="C199" t="str">
        <x:v>Technology</x:v>
      </x:c>
      <x:c r="D199" t="str">
        <x:v>Hanoi</x:v>
      </x:c>
      <x:c r="E199" t="str">
        <x:v>AA</x:v>
      </x:c>
      <x:c r="F199" t="n">
        <x:v>1776000000000</x:v>
      </x:c>
      <x:c r="G199" t="n">
        <x:v>656690972904</x:v>
      </x:c>
      <x:c r="H199" t="str">
        <x:v>Cash</x:v>
      </x:c>
      <x:c r="I199" t="n">
        <x:v>0.7255</x:v>
      </x:c>
      <x:c r="J199" t="n">
        <x:v>1.694</x:v>
      </x:c>
      <x:c r="K199" t="n">
        <x:v>3.41</x:v>
      </x:c>
      <x:c r="L199" t="n">
        <x:v>0</x:v>
      </x:c>
      <x:c r="M199" t="n">
        <x:v>0</x:v>
      </x:c>
      <x:c r="N199" t="n">
        <x:v>0.005246</x:v>
      </x:c>
      <x:c r="O199" t="n">
        <x:v>0.353925</x:v>
      </x:c>
      <x:c r="P199" t="n">
        <x:v>2038676389161</x:v>
      </x:c>
      <x:c r="Q199" t="n">
        <x:v>1</x:v>
      </x:c>
      <x:c r="R199" t="n">
        <x:v>0.007869</x:v>
      </x:c>
      <x:c r="S199" t="n">
        <x:v>3785160389</x:v>
      </x:c>
      <x:c r="T199" t="n">
        <x:v>0</x:v>
      </x:c>
    </x:row>
    <x:row r="200">
      <x:c r="A200" t="str">
        <x:v>LN00199</x:v>
      </x:c>
      <x:c r="B200" t="str">
        <x:v>Large Corporate</x:v>
      </x:c>
      <x:c r="C200" t="str">
        <x:v>Healthcare</x:v>
      </x:c>
      <x:c r="D200" t="str">
        <x:v>Hai Phong</x:v>
      </x:c>
      <x:c r="E200" t="str">
        <x:v>BB</x:v>
      </x:c>
      <x:c r="F200" t="n">
        <x:v>2045000000000</x:v>
      </x:c>
      <x:c r="G200" t="n">
        <x:v>379135827844</x:v>
      </x:c>
      <x:c r="H200" t="str">
        <x:v>Inventory</x:v>
      </x:c>
      <x:c r="I200" t="n">
        <x:v>0.7826</x:v>
      </x:c>
      <x:c r="J200" t="n">
        <x:v>1.739</x:v>
      </x:c>
      <x:c r="K200" t="n">
        <x:v>3.059</x:v>
      </x:c>
      <x:c r="L200" t="n">
        <x:v>0</x:v>
      </x:c>
      <x:c r="M200" t="n">
        <x:v>0</x:v>
      </x:c>
      <x:c r="N200" t="n">
        <x:v>0.055386</x:v>
      </x:c>
      <x:c r="O200" t="n">
        <x:v>0.523917</x:v>
      </x:c>
      <x:c r="P200" t="n">
        <x:v>2196654331137</x:v>
      </x:c>
      <x:c r="Q200" t="n">
        <x:v>1</x:v>
      </x:c>
      <x:c r="R200" t="n">
        <x:v>0.083079</x:v>
      </x:c>
      <x:c r="S200" t="n">
        <x:v>63742057231</x:v>
      </x:c>
      <x:c r="T200" t="n">
        <x:v>0</x:v>
      </x:c>
    </x:row>
    <x:row r="201">
      <x:c r="A201" t="str">
        <x:v>LN00200</x:v>
      </x:c>
      <x:c r="B201" t="str">
        <x:v>SME</x:v>
      </x:c>
      <x:c r="C201" t="str">
        <x:v>Transport</x:v>
      </x:c>
      <x:c r="D201" t="str">
        <x:v>Can Tho</x:v>
      </x:c>
      <x:c r="E201" t="str">
        <x:v>B</x:v>
      </x:c>
      <x:c r="F201" t="n">
        <x:v>1411000000000</x:v>
      </x:c>
      <x:c r="G201" t="n">
        <x:v>579504271689</x:v>
      </x:c>
      <x:c r="H201" t="str">
        <x:v>Receivables</x:v>
      </x:c>
      <x:c r="I201" t="n">
        <x:v>1.2449</x:v>
      </x:c>
      <x:c r="J201" t="n">
        <x:v>1.255</x:v>
      </x:c>
      <x:c r="K201" t="n">
        <x:v>3.179</x:v>
      </x:c>
      <x:c r="L201" t="n">
        <x:v>0</x:v>
      </x:c>
      <x:c r="M201" t="n">
        <x:v>2</x:v>
      </x:c>
      <x:c r="N201" t="n">
        <x:v>0.182579</x:v>
      </x:c>
      <x:c r="O201" t="n">
        <x:v>0.685711</x:v>
      </x:c>
      <x:c r="P201" t="n">
        <x:v>1642801708675</x:v>
      </x:c>
      <x:c r="Q201" t="n">
        <x:v>2</x:v>
      </x:c>
      <x:c r="R201" t="n">
        <x:v>0.547738</x:v>
      </x:c>
      <x:c r="S201" t="n">
        <x:v>617020262482</x:v>
      </x:c>
      <x:c r="T201" t="n">
        <x:v>0</x:v>
      </x:c>
    </x:row>
    <x:row r="202">
      <x:c r="A202" t="str">
        <x:v>LN00201</x:v>
      </x:c>
      <x:c r="B202" t="str">
        <x:v>SME</x:v>
      </x:c>
      <x:c r="C202" t="str">
        <x:v>Agriculture</x:v>
      </x:c>
      <x:c r="D202" t="str">
        <x:v>Da Nang</x:v>
      </x:c>
      <x:c r="E202" t="str">
        <x:v>CCC</x:v>
      </x:c>
      <x:c r="F202" t="n">
        <x:v>955000000000</x:v>
      </x:c>
      <x:c r="G202" t="n">
        <x:v>418567845579</x:v>
      </x:c>
      <x:c r="H202" t="str">
        <x:v>Cash</x:v>
      </x:c>
      <x:c r="I202" t="n">
        <x:v>1.0865</x:v>
      </x:c>
      <x:c r="J202" t="n">
        <x:v>2.273</x:v>
      </x:c>
      <x:c r="K202" t="n">
        <x:v>2.933</x:v>
      </x:c>
      <x:c r="L202" t="n">
        <x:v>130</x:v>
      </x:c>
      <x:c r="M202" t="n">
        <x:v>0</x:v>
      </x:c>
      <x:c r="N202" t="n">
        <x:v>0.886667</x:v>
      </x:c>
      <x:c r="O202" t="n">
        <x:v>0.480279</x:v>
      </x:c>
      <x:c r="P202" t="n">
        <x:v>1122427138231</x:v>
      </x:c>
      <x:c r="Q202" t="n">
        <x:v>3</x:v>
      </x:c>
      <x:c r="R202" t="n">
        <x:v>0.886667</x:v>
      </x:c>
      <x:c r="S202" t="n">
        <x:v>477982779942</x:v>
      </x:c>
      <x:c r="T202" t="n">
        <x:v>1</x:v>
      </x:c>
    </x:row>
    <x:row r="203">
      <x:c r="A203" t="str">
        <x:v>LN00202</x:v>
      </x:c>
      <x:c r="B203" t="str">
        <x:v>Large Corporate</x:v>
      </x:c>
      <x:c r="C203" t="str">
        <x:v>Manufacturing</x:v>
      </x:c>
      <x:c r="D203" t="str">
        <x:v>Can Tho</x:v>
      </x:c>
      <x:c r="E203" t="str">
        <x:v>CCC</x:v>
      </x:c>
      <x:c r="F203" t="n">
        <x:v>1304000000000</x:v>
      </x:c>
      <x:c r="G203" t="n">
        <x:v>473084160240</x:v>
      </x:c>
      <x:c r="H203" t="str">
        <x:v>Cash</x:v>
      </x:c>
      <x:c r="I203" t="n">
        <x:v>0.8163</x:v>
      </x:c>
      <x:c r="J203" t="n">
        <x:v>1.406</x:v>
      </x:c>
      <x:c r="K203" t="n">
        <x:v>0.265</x:v>
      </x:c>
      <x:c r="L203" t="n">
        <x:v>65</x:v>
      </x:c>
      <x:c r="M203" t="n">
        <x:v>0</x:v>
      </x:c>
      <x:c r="N203" t="n">
        <x:v>0.583333</x:v>
      </x:c>
      <x:c r="O203" t="n">
        <x:v>0.385704</x:v>
      </x:c>
      <x:c r="P203" t="n">
        <x:v>1493233664096</x:v>
      </x:c>
      <x:c r="Q203" t="n">
        <x:v>2</x:v>
      </x:c>
      <x:c r="R203" t="n">
        <x:v>0.99</x:v>
      </x:c>
      <x:c r="S203" t="n">
        <x:v>570187120609</x:v>
      </x:c>
      <x:c r="T203" t="n">
        <x:v>0</x:v>
      </x:c>
    </x:row>
    <x:row r="204">
      <x:c r="A204" t="str">
        <x:v>LN00203</x:v>
      </x:c>
      <x:c r="B204" t="str">
        <x:v>SME</x:v>
      </x:c>
      <x:c r="C204" t="str">
        <x:v>Technology</x:v>
      </x:c>
      <x:c r="D204" t="str">
        <x:v>Hanoi</x:v>
      </x:c>
      <x:c r="E204" t="str">
        <x:v>CCC</x:v>
      </x:c>
      <x:c r="F204" t="n">
        <x:v>2010000000000</x:v>
      </x:c>
      <x:c r="G204" t="n">
        <x:v>34338203915</x:v>
      </x:c>
      <x:c r="H204" t="str">
        <x:v>Machinery</x:v>
      </x:c>
      <x:c r="I204" t="n">
        <x:v>1.1046</x:v>
      </x:c>
      <x:c r="J204" t="n">
        <x:v>2.058</x:v>
      </x:c>
      <x:c r="K204" t="n">
        <x:v>4.784</x:v>
      </x:c>
      <x:c r="L204" t="n">
        <x:v>15</x:v>
      </x:c>
      <x:c r="M204" t="n">
        <x:v>0</x:v>
      </x:c>
      <x:c r="N204" t="n">
        <x:v>0.409937</x:v>
      </x:c>
      <x:c r="O204" t="n">
        <x:v>0.636623</x:v>
      </x:c>
      <x:c r="P204" t="n">
        <x:v>2023735281566</x:v>
      </x:c>
      <x:c r="Q204" t="n">
        <x:v>1</x:v>
      </x:c>
      <x:c r="R204" t="n">
        <x:v>0.614905</x:v>
      </x:c>
      <x:c r="S204" t="n">
        <x:v>528144365434</x:v>
      </x:c>
      <x:c r="T204" t="n">
        <x:v>0</x:v>
      </x:c>
    </x:row>
    <x:row r="205">
      <x:c r="A205" t="str">
        <x:v>LN00204</x:v>
      </x:c>
      <x:c r="B205" t="str">
        <x:v>Retail Mortgage</x:v>
      </x:c>
      <x:c r="C205" t="str">
        <x:v>Healthcare</x:v>
      </x:c>
      <x:c r="D205" t="str">
        <x:v>HCMC</x:v>
      </x:c>
      <x:c r="E205" t="str">
        <x:v>AA</x:v>
      </x:c>
      <x:c r="F205" t="n">
        <x:v>456000000000</x:v>
      </x:c>
      <x:c r="G205" t="n">
        <x:v>173697878131</x:v>
      </x:c>
      <x:c r="H205" t="str">
        <x:v>Machinery</x:v>
      </x:c>
      <x:c r="I205" t="n">
        <x:v>1.0904</x:v>
      </x:c>
      <x:c r="J205" t="n">
        <x:v>2.696</x:v>
      </x:c>
      <x:c r="K205" t="n">
        <x:v>0.467</x:v>
      </x:c>
      <x:c r="L205" t="n">
        <x:v>0</x:v>
      </x:c>
      <x:c r="M205" t="n">
        <x:v>0</x:v>
      </x:c>
      <x:c r="N205" t="n">
        <x:v>0.005</x:v>
      </x:c>
      <x:c r="O205" t="n">
        <x:v>0.631642</x:v>
      </x:c>
      <x:c r="P205" t="n">
        <x:v>586273408598</x:v>
      </x:c>
      <x:c r="Q205" t="n">
        <x:v>1</x:v>
      </x:c>
      <x:c r="R205" t="n">
        <x:v>0.0075</x:v>
      </x:c>
      <x:c r="S205" t="n">
        <x:v>1851574984</x:v>
      </x:c>
      <x:c r="T205" t="n">
        <x:v>0</x:v>
      </x:c>
    </x:row>
    <x:row r="206">
      <x:c r="A206" t="str">
        <x:v>LN00205</x:v>
      </x:c>
      <x:c r="B206" t="str">
        <x:v>Retail Mortgage</x:v>
      </x:c>
      <x:c r="C206" t="str">
        <x:v>Energy</x:v>
      </x:c>
      <x:c r="D206" t="str">
        <x:v>HCMC</x:v>
      </x:c>
      <x:c r="E206" t="str">
        <x:v>BB</x:v>
      </x:c>
      <x:c r="F206" t="n">
        <x:v>2661000000000</x:v>
      </x:c>
      <x:c r="G206" t="n">
        <x:v>379930999247</x:v>
      </x:c>
      <x:c r="H206" t="str">
        <x:v>Receivables</x:v>
      </x:c>
      <x:c r="I206" t="n">
        <x:v>0.7817</x:v>
      </x:c>
      <x:c r="J206" t="n">
        <x:v>1.119</x:v>
      </x:c>
      <x:c r="K206" t="n">
        <x:v>4.685</x:v>
      </x:c>
      <x:c r="L206" t="n">
        <x:v>15</x:v>
      </x:c>
      <x:c r="M206" t="n">
        <x:v>0</x:v>
      </x:c>
      <x:c r="N206" t="n">
        <x:v>0.083445</x:v>
      </x:c>
      <x:c r="O206" t="n">
        <x:v>0.523594</x:v>
      </x:c>
      <x:c r="P206" t="n">
        <x:v>2945948249435</x:v>
      </x:c>
      <x:c r="Q206" t="n">
        <x:v>1</x:v>
      </x:c>
      <x:c r="R206" t="n">
        <x:v>0.125168</x:v>
      </x:c>
      <x:c r="S206" t="n">
        <x:v>128712691826</x:v>
      </x:c>
      <x:c r="T206" t="n">
        <x:v>0</x:v>
      </x:c>
    </x:row>
    <x:row r="207">
      <x:c r="A207" t="str">
        <x:v>LN00206</x:v>
      </x:c>
      <x:c r="B207" t="str">
        <x:v>Consumer Finance</x:v>
      </x:c>
      <x:c r="C207" t="str">
        <x:v>Real Estate</x:v>
      </x:c>
      <x:c r="D207" t="str">
        <x:v>Hai Phong</x:v>
      </x:c>
      <x:c r="E207" t="str">
        <x:v>A</x:v>
      </x:c>
      <x:c r="F207" t="n">
        <x:v>1605000000000</x:v>
      </x:c>
      <x:c r="G207" t="n">
        <x:v>614459218357</x:v>
      </x:c>
      <x:c r="H207" t="str">
        <x:v>Cash</x:v>
      </x:c>
      <x:c r="I207" t="n">
        <x:v>1.0818</x:v>
      </x:c>
      <x:c r="J207" t="n">
        <x:v>1.893</x:v>
      </x:c>
      <x:c r="K207" t="n">
        <x:v>1.403</x:v>
      </x:c>
      <x:c r="L207" t="n">
        <x:v>15</x:v>
      </x:c>
      <x:c r="M207" t="n">
        <x:v>0</x:v>
      </x:c>
      <x:c r="N207" t="n">
        <x:v>0.015</x:v>
      </x:c>
      <x:c r="O207" t="n">
        <x:v>0.478627</x:v>
      </x:c>
      <x:c r="P207" t="n">
        <x:v>2065844413767</x:v>
      </x:c>
      <x:c r="Q207" t="n">
        <x:v>1</x:v>
      </x:c>
      <x:c r="R207" t="n">
        <x:v>0.0225</x:v>
      </x:c>
      <x:c r="S207" t="n">
        <x:v>14831528950</x:v>
      </x:c>
      <x:c r="T207" t="n">
        <x:v>0</x:v>
      </x:c>
    </x:row>
    <x:row r="208">
      <x:c r="A208" t="str">
        <x:v>LN00207</x:v>
      </x:c>
      <x:c r="B208" t="str">
        <x:v>Large Corporate</x:v>
      </x:c>
      <x:c r="C208" t="str">
        <x:v>Construction</x:v>
      </x:c>
      <x:c r="D208" t="str">
        <x:v>Dong Nai</x:v>
      </x:c>
      <x:c r="E208" t="str">
        <x:v>A</x:v>
      </x:c>
      <x:c r="F208" t="n">
        <x:v>689000000000</x:v>
      </x:c>
      <x:c r="G208" t="n">
        <x:v>197249708113</x:v>
      </x:c>
      <x:c r="H208" t="str">
        <x:v>Inventory</x:v>
      </x:c>
      <x:c r="I208" t="n">
        <x:v>1.2114</x:v>
      </x:c>
      <x:c r="J208" t="n">
        <x:v>1.565</x:v>
      </x:c>
      <x:c r="K208" t="n">
        <x:v>2.11</x:v>
      </x:c>
      <x:c r="L208" t="n">
        <x:v>0</x:v>
      </x:c>
      <x:c r="M208" t="n">
        <x:v>0</x:v>
      </x:c>
      <x:c r="N208" t="n">
        <x:v>0.012</x:v>
      </x:c>
      <x:c r="O208" t="n">
        <x:v>0.674003</x:v>
      </x:c>
      <x:c r="P208" t="n">
        <x:v>767899883245</x:v>
      </x:c>
      <x:c r="Q208" t="n">
        <x:v>1</x:v>
      </x:c>
      <x:c r="R208" t="n">
        <x:v>0.018</x:v>
      </x:c>
      <x:c r="S208" t="n">
        <x:v>6210797341</x:v>
      </x:c>
      <x:c r="T208" t="n">
        <x:v>0</x:v>
      </x:c>
    </x:row>
    <x:row r="209">
      <x:c r="A209" t="str">
        <x:v>LN00208</x:v>
      </x:c>
      <x:c r="B209" t="str">
        <x:v>SME</x:v>
      </x:c>
      <x:c r="C209" t="str">
        <x:v>Energy</x:v>
      </x:c>
      <x:c r="D209" t="str">
        <x:v>HCMC</x:v>
      </x:c>
      <x:c r="E209" t="str">
        <x:v>AAA</x:v>
      </x:c>
      <x:c r="F209" t="n">
        <x:v>683000000000</x:v>
      </x:c>
      <x:c r="G209" t="n">
        <x:v>271867056458</x:v>
      </x:c>
      <x:c r="H209" t="str">
        <x:v>Receivables</x:v>
      </x:c>
      <x:c r="I209" t="n">
        <x:v>0.876</x:v>
      </x:c>
      <x:c r="J209" t="n">
        <x:v>1.264</x:v>
      </x:c>
      <x:c r="K209" t="n">
        <x:v>3.259</x:v>
      </x:c>
      <x:c r="L209" t="n">
        <x:v>0</x:v>
      </x:c>
      <x:c r="M209" t="n">
        <x:v>1</x:v>
      </x:c>
      <x:c r="N209" t="n">
        <x:v>0.002562</x:v>
      </x:c>
      <x:c r="O209" t="n">
        <x:v>0.556597</x:v>
      </x:c>
      <x:c r="P209" t="n">
        <x:v>791746822583</x:v>
      </x:c>
      <x:c r="Q209" t="n">
        <x:v>1</x:v>
      </x:c>
      <x:c r="R209" t="n">
        <x:v>0.003843</x:v>
      </x:c>
      <x:c r="S209" t="n">
        <x:v>1129139482</x:v>
      </x:c>
      <x:c r="T209" t="n">
        <x:v>0</x:v>
      </x:c>
    </x:row>
    <x:row r="210">
      <x:c r="A210" t="str">
        <x:v>LN00209</x:v>
      </x:c>
      <x:c r="B210" t="str">
        <x:v>Large Corporate</x:v>
      </x:c>
      <x:c r="C210" t="str">
        <x:v>Real Estate</x:v>
      </x:c>
      <x:c r="D210" t="str">
        <x:v>Dong Nai</x:v>
      </x:c>
      <x:c r="E210" t="str">
        <x:v>BBB</x:v>
      </x:c>
      <x:c r="F210" t="n">
        <x:v>1071000000000</x:v>
      </x:c>
      <x:c r="G210" t="n">
        <x:v>458653564244</x:v>
      </x:c>
      <x:c r="H210" t="str">
        <x:v>Inventory</x:v>
      </x:c>
      <x:c r="I210" t="n">
        <x:v>0.9591</x:v>
      </x:c>
      <x:c r="J210" t="n">
        <x:v>1.951</x:v>
      </x:c>
      <x:c r="K210" t="n">
        <x:v>1.589</x:v>
      </x:c>
      <x:c r="L210" t="n">
        <x:v>0</x:v>
      </x:c>
      <x:c r="M210" t="n">
        <x:v>0</x:v>
      </x:c>
      <x:c r="N210" t="n">
        <x:v>0.025</x:v>
      </x:c>
      <x:c r="O210" t="n">
        <x:v>0.585685</x:v>
      </x:c>
      <x:c r="P210" t="n">
        <x:v>1254461425697</x:v>
      </x:c>
      <x:c r="Q210" t="n">
        <x:v>1</x:v>
      </x:c>
      <x:c r="R210" t="n">
        <x:v>0.0375</x:v>
      </x:c>
      <x:c r="S210" t="n">
        <x:v>18367965962</x:v>
      </x:c>
      <x:c r="T210" t="n">
        <x:v>0</x:v>
      </x:c>
    </x:row>
    <x:row r="211">
      <x:c r="A211" t="str">
        <x:v>LN00210</x:v>
      </x:c>
      <x:c r="B211" t="str">
        <x:v>SME</x:v>
      </x:c>
      <x:c r="C211" t="str">
        <x:v>Manufacturing</x:v>
      </x:c>
      <x:c r="D211" t="str">
        <x:v>HCMC</x:v>
      </x:c>
      <x:c r="E211" t="str">
        <x:v>AA</x:v>
      </x:c>
      <x:c r="F211" t="n">
        <x:v>645000000000</x:v>
      </x:c>
      <x:c r="G211" t="n">
        <x:v>15544554307</x:v>
      </x:c>
      <x:c r="H211" t="str">
        <x:v>Receivables</x:v>
      </x:c>
      <x:c r="I211" t="n">
        <x:v>0.7255</x:v>
      </x:c>
      <x:c r="J211" t="n">
        <x:v>1.074</x:v>
      </x:c>
      <x:c r="K211" t="n">
        <x:v>6.509</x:v>
      </x:c>
      <x:c r="L211" t="n">
        <x:v>65</x:v>
      </x:c>
      <x:c r="M211" t="n">
        <x:v>0</x:v>
      </x:c>
      <x:c r="N211" t="n">
        <x:v>0.013027</x:v>
      </x:c>
      <x:c r="O211" t="n">
        <x:v>0.503916</x:v>
      </x:c>
      <x:c r="P211" t="n">
        <x:v>651217821722</x:v>
      </x:c>
      <x:c r="Q211" t="n">
        <x:v>2</x:v>
      </x:c>
      <x:c r="R211" t="n">
        <x:v>0.039082</x:v>
      </x:c>
      <x:c r="S211" t="n">
        <x:v>12825137004</x:v>
      </x:c>
      <x:c r="T211" t="n">
        <x:v>0</x:v>
      </x:c>
    </x:row>
    <x:row r="212">
      <x:c r="A212" t="str">
        <x:v>LN00211</x:v>
      </x:c>
      <x:c r="B212" t="str">
        <x:v>SME</x:v>
      </x:c>
      <x:c r="C212" t="str">
        <x:v>Energy</x:v>
      </x:c>
      <x:c r="D212" t="str">
        <x:v>Can Tho</x:v>
      </x:c>
      <x:c r="E212" t="str">
        <x:v>A</x:v>
      </x:c>
      <x:c r="F212" t="n">
        <x:v>631000000000</x:v>
      </x:c>
      <x:c r="G212" t="n">
        <x:v>15476652641</x:v>
      </x:c>
      <x:c r="H212" t="str">
        <x:v>Receivables</x:v>
      </x:c>
      <x:c r="I212" t="n">
        <x:v>0.9356</x:v>
      </x:c>
      <x:c r="J212" t="n">
        <x:v>1.806</x:v>
      </x:c>
      <x:c r="K212" t="n">
        <x:v>4.078</x:v>
      </x:c>
      <x:c r="L212" t="n">
        <x:v>0</x:v>
      </x:c>
      <x:c r="M212" t="n">
        <x:v>0</x:v>
      </x:c>
      <x:c r="N212" t="n">
        <x:v>0.013553</x:v>
      </x:c>
      <x:c r="O212" t="n">
        <x:v>0.57747</x:v>
      </x:c>
      <x:c r="P212" t="n">
        <x:v>637190661056</x:v>
      </x:c>
      <x:c r="Q212" t="n">
        <x:v>1</x:v>
      </x:c>
      <x:c r="R212" t="n">
        <x:v>0.020329</x:v>
      </x:c>
      <x:c r="S212" t="n">
        <x:v>4986789626</x:v>
      </x:c>
      <x:c r="T212" t="n">
        <x:v>0</x:v>
      </x:c>
    </x:row>
    <x:row r="213">
      <x:c r="A213" t="str">
        <x:v>LN00212</x:v>
      </x:c>
      <x:c r="B213" t="str">
        <x:v>SME</x:v>
      </x:c>
      <x:c r="C213" t="str">
        <x:v>Energy</x:v>
      </x:c>
      <x:c r="D213" t="str">
        <x:v>Can Tho</x:v>
      </x:c>
      <x:c r="E213" t="str">
        <x:v>A</x:v>
      </x:c>
      <x:c r="F213" t="n">
        <x:v>1087000000000</x:v>
      </x:c>
      <x:c r="G213" t="n">
        <x:v>44579603653</x:v>
      </x:c>
      <x:c r="H213" t="str">
        <x:v>Unsecured</x:v>
      </x:c>
      <x:c r="I213" t="n">
        <x:v>0.8611</x:v>
      </x:c>
      <x:c r="J213" t="n">
        <x:v>1.462</x:v>
      </x:c>
      <x:c r="K213" t="n">
        <x:v>2.955</x:v>
      </x:c>
      <x:c r="L213" t="n">
        <x:v>0</x:v>
      </x:c>
      <x:c r="M213" t="n">
        <x:v>0</x:v>
      </x:c>
      <x:c r="N213" t="n">
        <x:v>0.012</x:v>
      </x:c>
      <x:c r="O213" t="n">
        <x:v>0.751398</x:v>
      </x:c>
      <x:c r="P213" t="n">
        <x:v>1104831841461</x:v>
      </x:c>
      <x:c r="Q213" t="n">
        <x:v>1</x:v>
      </x:c>
      <x:c r="R213" t="n">
        <x:v>0.018</x:v>
      </x:c>
      <x:c r="S213" t="n">
        <x:v>9962024007</x:v>
      </x:c>
      <x:c r="T213" t="n">
        <x:v>0</x:v>
      </x:c>
    </x:row>
    <x:row r="214">
      <x:c r="A214" t="str">
        <x:v>LN00213</x:v>
      </x:c>
      <x:c r="B214" t="str">
        <x:v>Large Corporate</x:v>
      </x:c>
      <x:c r="C214" t="str">
        <x:v>Real Estate</x:v>
      </x:c>
      <x:c r="D214" t="str">
        <x:v>Binh Duong</x:v>
      </x:c>
      <x:c r="E214" t="str">
        <x:v>BBB</x:v>
      </x:c>
      <x:c r="F214" t="n">
        <x:v>2735000000000</x:v>
      </x:c>
      <x:c r="G214" t="n">
        <x:v>119016750827</x:v>
      </x:c>
      <x:c r="H214" t="str">
        <x:v>Unsecured</x:v>
      </x:c>
      <x:c r="I214" t="n">
        <x:v>0.6712</x:v>
      </x:c>
      <x:c r="J214" t="n">
        <x:v>0.93</x:v>
      </x:c>
      <x:c r="K214" t="n">
        <x:v>1.182</x:v>
      </x:c>
      <x:c r="L214" t="n">
        <x:v>0</x:v>
      </x:c>
      <x:c r="M214" t="n">
        <x:v>0</x:v>
      </x:c>
      <x:c r="N214" t="n">
        <x:v>0.030403</x:v>
      </x:c>
      <x:c r="O214" t="n">
        <x:v>0.68492</x:v>
      </x:c>
      <x:c r="P214" t="n">
        <x:v>2782606700330</x:v>
      </x:c>
      <x:c r="Q214" t="n">
        <x:v>1</x:v>
      </x:c>
      <x:c r="R214" t="n">
        <x:v>0.045605</x:v>
      </x:c>
      <x:c r="S214" t="n">
        <x:v>57944842805</x:v>
      </x:c>
      <x:c r="T214" t="n">
        <x:v>0</x:v>
      </x:c>
    </x:row>
    <x:row r="215">
      <x:c r="A215" t="str">
        <x:v>LN00214</x:v>
      </x:c>
      <x:c r="B215" t="str">
        <x:v>Large Corporate</x:v>
      </x:c>
      <x:c r="C215" t="str">
        <x:v>Technology</x:v>
      </x:c>
      <x:c r="D215" t="str">
        <x:v>HCMC</x:v>
      </x:c>
      <x:c r="E215" t="str">
        <x:v>B</x:v>
      </x:c>
      <x:c r="F215" t="n">
        <x:v>2927000000000</x:v>
      </x:c>
      <x:c r="G215" t="n">
        <x:v>45742635288</x:v>
      </x:c>
      <x:c r="H215" t="str">
        <x:v>Receivables</x:v>
      </x:c>
      <x:c r="I215" t="n">
        <x:v>0.9202</x:v>
      </x:c>
      <x:c r="J215" t="n">
        <x:v>1.202</x:v>
      </x:c>
      <x:c r="K215" t="n">
        <x:v>2.469</x:v>
      </x:c>
      <x:c r="L215" t="n">
        <x:v>0</x:v>
      </x:c>
      <x:c r="M215" t="n">
        <x:v>2</x:v>
      </x:c>
      <x:c r="N215" t="n">
        <x:v>0.18</x:v>
      </x:c>
      <x:c r="O215" t="n">
        <x:v>0.572085</x:v>
      </x:c>
      <x:c r="P215" t="n">
        <x:v>2945297054115</x:v>
      </x:c>
      <x:c r="Q215" t="n">
        <x:v>2</x:v>
      </x:c>
      <x:c r="R215" t="n">
        <x:v>0.54</x:v>
      </x:c>
      <x:c r="S215" t="n">
        <x:v>909878210252</x:v>
      </x:c>
      <x:c r="T215" t="n">
        <x:v>0</x:v>
      </x:c>
    </x:row>
    <x:row r="216">
      <x:c r="A216" t="str">
        <x:v>LN00215</x:v>
      </x:c>
      <x:c r="B216" t="str">
        <x:v>Large Corporate</x:v>
      </x:c>
      <x:c r="C216" t="str">
        <x:v>Manufacturing</x:v>
      </x:c>
      <x:c r="D216" t="str">
        <x:v>Can Tho</x:v>
      </x:c>
      <x:c r="E216" t="str">
        <x:v>B</x:v>
      </x:c>
      <x:c r="F216" t="n">
        <x:v>2800000000000</x:v>
      </x:c>
      <x:c r="G216" t="n">
        <x:v>548595489370</x:v>
      </x:c>
      <x:c r="H216" t="str">
        <x:v>Real Estate</x:v>
      </x:c>
      <x:c r="I216" t="n">
        <x:v>0.9309</x:v>
      </x:c>
      <x:c r="J216" t="n">
        <x:v>1.787</x:v>
      </x:c>
      <x:c r="K216" t="n">
        <x:v>3.745</x:v>
      </x:c>
      <x:c r="L216" t="n">
        <x:v>0</x:v>
      </x:c>
      <x:c r="M216" t="n">
        <x:v>0</x:v>
      </x:c>
      <x:c r="N216" t="n">
        <x:v>0.130731</x:v>
      </x:c>
      <x:c r="O216" t="n">
        <x:v>0.575824</x:v>
      </x:c>
      <x:c r="P216" t="n">
        <x:v>3019438195748</x:v>
      </x:c>
      <x:c r="Q216" t="n">
        <x:v>1</x:v>
      </x:c>
      <x:c r="R216" t="n">
        <x:v>0.196096</x:v>
      </x:c>
      <x:c r="S216" t="n">
        <x:v>227296964122</x:v>
      </x:c>
      <x:c r="T216" t="n">
        <x:v>0</x:v>
      </x:c>
    </x:row>
    <x:row r="217">
      <x:c r="A217" t="str">
        <x:v>LN00216</x:v>
      </x:c>
      <x:c r="B217" t="str">
        <x:v>Consumer Finance</x:v>
      </x:c>
      <x:c r="C217" t="str">
        <x:v>Technology</x:v>
      </x:c>
      <x:c r="D217" t="str">
        <x:v>Binh Duong</x:v>
      </x:c>
      <x:c r="E217" t="str">
        <x:v>BBB</x:v>
      </x:c>
      <x:c r="F217" t="n">
        <x:v>2870000000000</x:v>
      </x:c>
      <x:c r="G217" t="n">
        <x:v>804679314772</x:v>
      </x:c>
      <x:c r="H217" t="str">
        <x:v>Real Estate</x:v>
      </x:c>
      <x:c r="I217" t="n">
        <x:v>0.4144</x:v>
      </x:c>
      <x:c r="J217" t="n">
        <x:v>1.232</x:v>
      </x:c>
      <x:c r="K217" t="n">
        <x:v>2.994</x:v>
      </x:c>
      <x:c r="L217" t="n">
        <x:v>0</x:v>
      </x:c>
      <x:c r="M217" t="n">
        <x:v>1</x:v>
      </x:c>
      <x:c r="N217" t="n">
        <x:v>0.03125</x:v>
      </x:c>
      <x:c r="O217" t="n">
        <x:v>0.395044</x:v>
      </x:c>
      <x:c r="P217" t="n">
        <x:v>3473509486079</x:v>
      </x:c>
      <x:c r="Q217" t="n">
        <x:v>1</x:v>
      </x:c>
      <x:c r="R217" t="n">
        <x:v>0.046875</x:v>
      </x:c>
      <x:c r="S217" t="n">
        <x:v>42880895800</x:v>
      </x:c>
      <x:c r="T217" t="n">
        <x:v>0</x:v>
      </x:c>
    </x:row>
    <x:row r="218">
      <x:c r="A218" t="str">
        <x:v>LN00217</x:v>
      </x:c>
      <x:c r="B218" t="str">
        <x:v>Retail Mortgage</x:v>
      </x:c>
      <x:c r="C218" t="str">
        <x:v>F&amp;B</x:v>
      </x:c>
      <x:c r="D218" t="str">
        <x:v>Dong Nai</x:v>
      </x:c>
      <x:c r="E218" t="str">
        <x:v>B</x:v>
      </x:c>
      <x:c r="F218" t="n">
        <x:v>1685000000000</x:v>
      </x:c>
      <x:c r="G218" t="n">
        <x:v>200281599826</x:v>
      </x:c>
      <x:c r="H218" t="str">
        <x:v>Inventory</x:v>
      </x:c>
      <x:c r="I218" t="n">
        <x:v>0.7033</x:v>
      </x:c>
      <x:c r="J218" t="n">
        <x:v>1.208</x:v>
      </x:c>
      <x:c r="K218" t="n">
        <x:v>2.352</x:v>
      </x:c>
      <x:c r="L218" t="n">
        <x:v>5</x:v>
      </x:c>
      <x:c r="M218" t="n">
        <x:v>0</x:v>
      </x:c>
      <x:c r="N218" t="n">
        <x:v>0.13</x:v>
      </x:c>
      <x:c r="O218" t="n">
        <x:v>0.496138</x:v>
      </x:c>
      <x:c r="P218" t="n">
        <x:v>1835211199869</x:v>
      </x:c>
      <x:c r="Q218" t="n">
        <x:v>1</x:v>
      </x:c>
      <x:c r="R218" t="n">
        <x:v>0.195</x:v>
      </x:c>
      <x:c r="S218" t="n">
        <x:v>118367432097</x:v>
      </x:c>
      <x:c r="T218" t="n">
        <x:v>0</x:v>
      </x:c>
    </x:row>
    <x:row r="219">
      <x:c r="A219" t="str">
        <x:v>LN00218</x:v>
      </x:c>
      <x:c r="B219" t="str">
        <x:v>Consumer Finance</x:v>
      </x:c>
      <x:c r="C219" t="str">
        <x:v>Technology</x:v>
      </x:c>
      <x:c r="D219" t="str">
        <x:v>Dong Nai</x:v>
      </x:c>
      <x:c r="E219" t="str">
        <x:v>BBB</x:v>
      </x:c>
      <x:c r="F219" t="n">
        <x:v>84000000000</x:v>
      </x:c>
      <x:c r="G219" t="n">
        <x:v>12771337877</x:v>
      </x:c>
      <x:c r="H219" t="str">
        <x:v>Inventory</x:v>
      </x:c>
      <x:c r="I219" t="n">
        <x:v>1.0089</x:v>
      </x:c>
      <x:c r="J219" t="n">
        <x:v>1.929</x:v>
      </x:c>
      <x:c r="K219" t="n">
        <x:v>2.037</x:v>
      </x:c>
      <x:c r="L219" t="n">
        <x:v>5</x:v>
      </x:c>
      <x:c r="M219" t="n">
        <x:v>3</x:v>
      </x:c>
      <x:c r="N219" t="n">
        <x:v>0.045833</x:v>
      </x:c>
      <x:c r="O219" t="n">
        <x:v>0.603122</x:v>
      </x:c>
      <x:c r="P219" t="n">
        <x:v>93578503407</x:v>
      </x:c>
      <x:c r="Q219" t="n">
        <x:v>2</x:v>
      </x:c>
      <x:c r="R219" t="n">
        <x:v>0.1375</x:v>
      </x:c>
      <x:c r="S219" t="n">
        <x:v>7760396931</x:v>
      </x:c>
      <x:c r="T219" t="n">
        <x:v>0</x:v>
      </x:c>
    </x:row>
    <x:row r="220">
      <x:c r="A220" t="str">
        <x:v>LN00219</x:v>
      </x:c>
      <x:c r="B220" t="str">
        <x:v>Large Corporate</x:v>
      </x:c>
      <x:c r="C220" t="str">
        <x:v>Transport</x:v>
      </x:c>
      <x:c r="D220" t="str">
        <x:v>Dong Nai</x:v>
      </x:c>
      <x:c r="E220" t="str">
        <x:v>BBB</x:v>
      </x:c>
      <x:c r="F220" t="n">
        <x:v>2479000000000</x:v>
      </x:c>
      <x:c r="G220" t="n">
        <x:v>720148669888</x:v>
      </x:c>
      <x:c r="H220" t="str">
        <x:v>Receivables</x:v>
      </x:c>
      <x:c r="I220" t="n">
        <x:v>0.9024</x:v>
      </x:c>
      <x:c r="J220" t="n">
        <x:v>2.151</x:v>
      </x:c>
      <x:c r="K220" t="n">
        <x:v>4.231</x:v>
      </x:c>
      <x:c r="L220" t="n">
        <x:v>15</x:v>
      </x:c>
      <x:c r="M220" t="n">
        <x:v>0</x:v>
      </x:c>
      <x:c r="N220" t="n">
        <x:v>0.034944</x:v>
      </x:c>
      <x:c r="O220" t="n">
        <x:v>0.56584</x:v>
      </x:c>
      <x:c r="P220" t="n">
        <x:v>2767059467955</x:v>
      </x:c>
      <x:c r="Q220" t="n">
        <x:v>1</x:v>
      </x:c>
      <x:c r="R220" t="n">
        <x:v>0.052416</x:v>
      </x:c>
      <x:c r="S220" t="n">
        <x:v>54712325769</x:v>
      </x:c>
      <x:c r="T220" t="n">
        <x:v>0</x:v>
      </x:c>
    </x:row>
    <x:row r="221">
      <x:c r="A221" t="str">
        <x:v>LN00220</x:v>
      </x:c>
      <x:c r="B221" t="str">
        <x:v>Retail Mortgage</x:v>
      </x:c>
      <x:c r="C221" t="str">
        <x:v>Manufacturing</x:v>
      </x:c>
      <x:c r="D221" t="str">
        <x:v>Da Nang</x:v>
      </x:c>
      <x:c r="E221" t="str">
        <x:v>BB</x:v>
      </x:c>
      <x:c r="F221" t="n">
        <x:v>2331000000000</x:v>
      </x:c>
      <x:c r="G221" t="n">
        <x:v>30365171718</x:v>
      </x:c>
      <x:c r="H221" t="str">
        <x:v>Cash</x:v>
      </x:c>
      <x:c r="I221" t="n">
        <x:v>0.4488</x:v>
      </x:c>
      <x:c r="J221" t="n">
        <x:v>2.166</x:v>
      </x:c>
      <x:c r="K221" t="n">
        <x:v>5.679</x:v>
      </x:c>
      <x:c r="L221" t="n">
        <x:v>0</x:v>
      </x:c>
      <x:c r="M221" t="n">
        <x:v>2</x:v>
      </x:c>
      <x:c r="N221" t="n">
        <x:v>0.100181</x:v>
      </x:c>
      <x:c r="O221" t="n">
        <x:v>0.257093</x:v>
      </x:c>
      <x:c r="P221" t="n">
        <x:v>2353773878788</x:v>
      </x:c>
      <x:c r="Q221" t="n">
        <x:v>2</x:v>
      </x:c>
      <x:c r="R221" t="n">
        <x:v>0.300544</x:v>
      </x:c>
      <x:c r="S221" t="n">
        <x:v>181870883022</x:v>
      </x:c>
      <x:c r="T221" t="n">
        <x:v>0</x:v>
      </x:c>
    </x:row>
    <x:row r="222">
      <x:c r="A222" t="str">
        <x:v>LN00221</x:v>
      </x:c>
      <x:c r="B222" t="str">
        <x:v>SME</x:v>
      </x:c>
      <x:c r="C222" t="str">
        <x:v>Agriculture</x:v>
      </x:c>
      <x:c r="D222" t="str">
        <x:v>Da Nang</x:v>
      </x:c>
      <x:c r="E222" t="str">
        <x:v>B</x:v>
      </x:c>
      <x:c r="F222" t="n">
        <x:v>2792000000000</x:v>
      </x:c>
      <x:c r="G222" t="n">
        <x:v>38399594908</x:v>
      </x:c>
      <x:c r="H222" t="str">
        <x:v>Real Estate</x:v>
      </x:c>
      <x:c r="I222" t="n">
        <x:v>0.4632</x:v>
      </x:c>
      <x:c r="J222" t="n">
        <x:v>2.33</x:v>
      </x:c>
      <x:c r="K222" t="n">
        <x:v>4.444</x:v>
      </x:c>
      <x:c r="L222" t="n">
        <x:v>0</x:v>
      </x:c>
      <x:c r="M222" t="n">
        <x:v>2</x:v>
      </x:c>
      <x:c r="N222" t="n">
        <x:v>0.200793</x:v>
      </x:c>
      <x:c r="O222" t="n">
        <x:v>0.412103</x:v>
      </x:c>
      <x:c r="P222" t="n">
        <x:v>2807359837963</x:v>
      </x:c>
      <x:c r="Q222" t="n">
        <x:v>2</x:v>
      </x:c>
      <x:c r="R222" t="n">
        <x:v>0.602378</x:v>
      </x:c>
      <x:c r="S222" t="n">
        <x:v>696904177213</x:v>
      </x:c>
      <x:c r="T222" t="n">
        <x:v>0</x:v>
      </x:c>
    </x:row>
    <x:row r="223">
      <x:c r="A223" t="str">
        <x:v>LN00222</x:v>
      </x:c>
      <x:c r="B223" t="str">
        <x:v>Large Corporate</x:v>
      </x:c>
      <x:c r="C223" t="str">
        <x:v>Real Estate</x:v>
      </x:c>
      <x:c r="D223" t="str">
        <x:v>Hai Phong</x:v>
      </x:c>
      <x:c r="E223" t="str">
        <x:v>AA</x:v>
      </x:c>
      <x:c r="F223" t="n">
        <x:v>879000000000</x:v>
      </x:c>
      <x:c r="G223" t="n">
        <x:v>339030330191</x:v>
      </x:c>
      <x:c r="H223" t="str">
        <x:v>Cash</x:v>
      </x:c>
      <x:c r="I223" t="n">
        <x:v>0.7537</x:v>
      </x:c>
      <x:c r="J223" t="n">
        <x:v>1.303</x:v>
      </x:c>
      <x:c r="K223" t="n">
        <x:v>1.516</x:v>
      </x:c>
      <x:c r="L223" t="n">
        <x:v>0</x:v>
      </x:c>
      <x:c r="M223" t="n">
        <x:v>1</x:v>
      </x:c>
      <x:c r="N223" t="n">
        <x:v>0.00625</x:v>
      </x:c>
      <x:c r="O223" t="n">
        <x:v>0.363781</x:v>
      </x:c>
      <x:c r="P223" t="n">
        <x:v>1014612132076</x:v>
      </x:c>
      <x:c r="Q223" t="n">
        <x:v>1</x:v>
      </x:c>
      <x:c r="R223" t="n">
        <x:v>0.009375</x:v>
      </x:c>
      <x:c r="S223" t="n">
        <x:v>2306856493</x:v>
      </x:c>
      <x:c r="T223" t="n">
        <x:v>0</x:v>
      </x:c>
    </x:row>
    <x:row r="224">
      <x:c r="A224" t="str">
        <x:v>LN00223</x:v>
      </x:c>
      <x:c r="B224" t="str">
        <x:v>SME</x:v>
      </x:c>
      <x:c r="C224" t="str">
        <x:v>Manufacturing</x:v>
      </x:c>
      <x:c r="D224" t="str">
        <x:v>Can Tho</x:v>
      </x:c>
      <x:c r="E224" t="str">
        <x:v>B</x:v>
      </x:c>
      <x:c r="F224" t="n">
        <x:v>918000000000</x:v>
      </x:c>
      <x:c r="G224" t="n">
        <x:v>104262491326</x:v>
      </x:c>
      <x:c r="H224" t="str">
        <x:v>Real Estate</x:v>
      </x:c>
      <x:c r="I224" t="n">
        <x:v>0.7079</x:v>
      </x:c>
      <x:c r="J224" t="n">
        <x:v>1.358</x:v>
      </x:c>
      <x:c r="K224" t="n">
        <x:v>5.166</x:v>
      </x:c>
      <x:c r="L224" t="n">
        <x:v>0</x:v>
      </x:c>
      <x:c r="M224" t="n">
        <x:v>0</x:v>
      </x:c>
      <x:c r="N224" t="n">
        <x:v>0.151186</x:v>
      </x:c>
      <x:c r="O224" t="n">
        <x:v>0.497776</x:v>
      </x:c>
      <x:c r="P224" t="n">
        <x:v>959704996530</x:v>
      </x:c>
      <x:c r="Q224" t="n">
        <x:v>1</x:v>
      </x:c>
      <x:c r="R224" t="n">
        <x:v>0.22678</x:v>
      </x:c>
      <x:c r="S224" t="n">
        <x:v>72224475662</x:v>
      </x:c>
      <x:c r="T224" t="n">
        <x:v>0</x:v>
      </x:c>
    </x:row>
    <x:row r="225">
      <x:c r="A225" t="str">
        <x:v>LN00224</x:v>
      </x:c>
      <x:c r="B225" t="str">
        <x:v>Large Corporate</x:v>
      </x:c>
      <x:c r="C225" t="str">
        <x:v>Healthcare</x:v>
      </x:c>
      <x:c r="D225" t="str">
        <x:v>Dong Nai</x:v>
      </x:c>
      <x:c r="E225" t="str">
        <x:v>BB</x:v>
      </x:c>
      <x:c r="F225" t="n">
        <x:v>2715000000000</x:v>
      </x:c>
      <x:c r="G225" t="n">
        <x:v>1180803603992</x:v>
      </x:c>
      <x:c r="H225" t="str">
        <x:v>Cash</x:v>
      </x:c>
      <x:c r="I225" t="n">
        <x:v>0.9395</x:v>
      </x:c>
      <x:c r="J225" t="n">
        <x:v>2.176</x:v>
      </x:c>
      <x:c r="K225" t="n">
        <x:v>1.679</x:v>
      </x:c>
      <x:c r="L225" t="n">
        <x:v>5</x:v>
      </x:c>
      <x:c r="M225" t="n">
        <x:v>0</x:v>
      </x:c>
      <x:c r="N225" t="n">
        <x:v>0.059583</x:v>
      </x:c>
      <x:c r="O225" t="n">
        <x:v>0.428842</x:v>
      </x:c>
      <x:c r="P225" t="n">
        <x:v>3187321441596</x:v>
      </x:c>
      <x:c r="Q225" t="n">
        <x:v>1</x:v>
      </x:c>
      <x:c r="R225" t="n">
        <x:v>0.089375</x:v>
      </x:c>
      <x:c r="S225" t="n">
        <x:v>81441975186</x:v>
      </x:c>
      <x:c r="T225" t="n">
        <x:v>0</x:v>
      </x:c>
    </x:row>
    <x:row r="226">
      <x:c r="A226" t="str">
        <x:v>LN00225</x:v>
      </x:c>
      <x:c r="B226" t="str">
        <x:v>Large Corporate</x:v>
      </x:c>
      <x:c r="C226" t="str">
        <x:v>F&amp;B</x:v>
      </x:c>
      <x:c r="D226" t="str">
        <x:v>Da Nang</x:v>
      </x:c>
      <x:c r="E226" t="str">
        <x:v>BBB</x:v>
      </x:c>
      <x:c r="F226" t="n">
        <x:v>2670000000000</x:v>
      </x:c>
      <x:c r="G226" t="n">
        <x:v>358997520970</x:v>
      </x:c>
      <x:c r="H226" t="str">
        <x:v>Unsecured</x:v>
      </x:c>
      <x:c r="I226" t="n">
        <x:v>1.0503</x:v>
      </x:c>
      <x:c r="J226" t="n">
        <x:v>2.558</x:v>
      </x:c>
      <x:c r="K226" t="n">
        <x:v>5.246</x:v>
      </x:c>
      <x:c r="L226" t="n">
        <x:v>5</x:v>
      </x:c>
      <x:c r="M226" t="n">
        <x:v>0</x:v>
      </x:c>
      <x:c r="N226" t="n">
        <x:v>0.033823</x:v>
      </x:c>
      <x:c r="O226" t="n">
        <x:v>0.817615</x:v>
      </x:c>
      <x:c r="P226" t="n">
        <x:v>2813599008388</x:v>
      </x:c>
      <x:c r="Q226" t="n">
        <x:v>1</x:v>
      </x:c>
      <x:c r="R226" t="n">
        <x:v>0.050734</x:v>
      </x:c>
      <x:c r="S226" t="n">
        <x:v>77806967106</x:v>
      </x:c>
      <x:c r="T226" t="n">
        <x:v>0</x:v>
      </x:c>
    </x:row>
    <x:row r="227">
      <x:c r="A227" t="str">
        <x:v>LN00226</x:v>
      </x:c>
      <x:c r="B227" t="str">
        <x:v>SME</x:v>
      </x:c>
      <x:c r="C227" t="str">
        <x:v>Energy</x:v>
      </x:c>
      <x:c r="D227" t="str">
        <x:v>Binh Duong</x:v>
      </x:c>
      <x:c r="E227" t="str">
        <x:v>BBB</x:v>
      </x:c>
      <x:c r="F227" t="n">
        <x:v>146000000000</x:v>
      </x:c>
      <x:c r="G227" t="n">
        <x:v>38304657248</x:v>
      </x:c>
      <x:c r="H227" t="str">
        <x:v>Unsecured</x:v>
      </x:c>
      <x:c r="I227" t="n">
        <x:v>0.5938</x:v>
      </x:c>
      <x:c r="J227" t="n">
        <x:v>2.811</x:v>
      </x:c>
      <x:c r="K227" t="n">
        <x:v>3.115</x:v>
      </x:c>
      <x:c r="L227" t="n">
        <x:v>5</x:v>
      </x:c>
      <x:c r="M227" t="n">
        <x:v>0</x:v>
      </x:c>
      <x:c r="N227" t="n">
        <x:v>0.027429</x:v>
      </x:c>
      <x:c r="O227" t="n">
        <x:v>0.657818</x:v>
      </x:c>
      <x:c r="P227" t="n">
        <x:v>161321862899</x:v>
      </x:c>
      <x:c r="Q227" t="n">
        <x:v>1</x:v>
      </x:c>
      <x:c r="R227" t="n">
        <x:v>0.041143</x:v>
      </x:c>
      <x:c r="S227" t="n">
        <x:v>2910736624</x:v>
      </x:c>
      <x:c r="T227" t="n">
        <x:v>0</x:v>
      </x:c>
    </x:row>
    <x:row r="228">
      <x:c r="A228" t="str">
        <x:v>LN00227</x:v>
      </x:c>
      <x:c r="B228" t="str">
        <x:v>Retail Mortgage</x:v>
      </x:c>
      <x:c r="C228" t="str">
        <x:v>Manufacturing</x:v>
      </x:c>
      <x:c r="D228" t="str">
        <x:v>Dong Nai</x:v>
      </x:c>
      <x:c r="E228" t="str">
        <x:v>BBB</x:v>
      </x:c>
      <x:c r="F228" t="n">
        <x:v>743000000000</x:v>
      </x:c>
      <x:c r="G228" t="n">
        <x:v>98226698073</x:v>
      </x:c>
      <x:c r="H228" t="str">
        <x:v>Cash</x:v>
      </x:c>
      <x:c r="I228" t="n">
        <x:v>0.5268</x:v>
      </x:c>
      <x:c r="J228" t="n">
        <x:v>1.965</x:v>
      </x:c>
      <x:c r="K228" t="n">
        <x:v>2.922</x:v>
      </x:c>
      <x:c r="L228" t="n">
        <x:v>35</x:v>
      </x:c>
      <x:c r="M228" t="n">
        <x:v>0</x:v>
      </x:c>
      <x:c r="N228" t="n">
        <x:v>0.039583</x:v>
      </x:c>
      <x:c r="O228" t="n">
        <x:v>0.284386</x:v>
      </x:c>
      <x:c r="P228" t="n">
        <x:v>816670023554</x:v>
      </x:c>
      <x:c r="Q228" t="n">
        <x:v>2</x:v>
      </x:c>
      <x:c r="R228" t="n">
        <x:v>0.11875</x:v>
      </x:c>
      <x:c r="S228" t="n">
        <x:v>27579583049</x:v>
      </x:c>
      <x:c r="T228" t="n">
        <x:v>0</x:v>
      </x:c>
    </x:row>
    <x:row r="229">
      <x:c r="A229" t="str">
        <x:v>LN00228</x:v>
      </x:c>
      <x:c r="B229" t="str">
        <x:v>Retail Mortgage</x:v>
      </x:c>
      <x:c r="C229" t="str">
        <x:v>Energy</x:v>
      </x:c>
      <x:c r="D229" t="str">
        <x:v>Binh Duong</x:v>
      </x:c>
      <x:c r="E229" t="str">
        <x:v>B</x:v>
      </x:c>
      <x:c r="F229" t="n">
        <x:v>1524000000000</x:v>
      </x:c>
      <x:c r="G229" t="n">
        <x:v>178691523641</x:v>
      </x:c>
      <x:c r="H229" t="str">
        <x:v>Inventory</x:v>
      </x:c>
      <x:c r="I229" t="n">
        <x:v>0.5971</x:v>
      </x:c>
      <x:c r="J229" t="n">
        <x:v>1.507</x:v>
      </x:c>
      <x:c r="K229" t="n">
        <x:v>5.829</x:v>
      </x:c>
      <x:c r="L229" t="n">
        <x:v>0</x:v>
      </x:c>
      <x:c r="M229" t="n">
        <x:v>2</x:v>
      </x:c>
      <x:c r="N229" t="n">
        <x:v>0.220735</x:v>
      </x:c>
      <x:c r="O229" t="n">
        <x:v>0.458984</x:v>
      </x:c>
      <x:c r="P229" t="n">
        <x:v>1658018642730</x:v>
      </x:c>
      <x:c r="Q229" t="n">
        <x:v>2</x:v>
      </x:c>
      <x:c r="R229" t="n">
        <x:v>0.662206</x:v>
      </x:c>
      <x:c r="S229" t="n">
        <x:v>503941870388</x:v>
      </x:c>
      <x:c r="T229" t="n">
        <x:v>0</x:v>
      </x:c>
    </x:row>
    <x:row r="230">
      <x:c r="A230" t="str">
        <x:v>LN00229</x:v>
      </x:c>
      <x:c r="B230" t="str">
        <x:v>SME</x:v>
      </x:c>
      <x:c r="C230" t="str">
        <x:v>Energy</x:v>
      </x:c>
      <x:c r="D230" t="str">
        <x:v>Hai Phong</x:v>
      </x:c>
      <x:c r="E230" t="str">
        <x:v>A</x:v>
      </x:c>
      <x:c r="F230" t="n">
        <x:v>223000000000</x:v>
      </x:c>
      <x:c r="G230" t="n">
        <x:v>87389711836</x:v>
      </x:c>
      <x:c r="H230" t="str">
        <x:v>Receivables</x:v>
      </x:c>
      <x:c r="I230" t="n">
        <x:v>1.2145</x:v>
      </x:c>
      <x:c r="J230" t="n">
        <x:v>3.194</x:v>
      </x:c>
      <x:c r="K230" t="n">
        <x:v>0.927</x:v>
      </x:c>
      <x:c r="L230" t="n">
        <x:v>0</x:v>
      </x:c>
      <x:c r="M230" t="n">
        <x:v>1</x:v>
      </x:c>
      <x:c r="N230" t="n">
        <x:v>0.015</x:v>
      </x:c>
      <x:c r="O230" t="n">
        <x:v>0.675079</x:v>
      </x:c>
      <x:c r="P230" t="n">
        <x:v>257955884734</x:v>
      </x:c>
      <x:c r="Q230" t="n">
        <x:v>1</x:v>
      </x:c>
      <x:c r="R230" t="n">
        <x:v>0.0225</x:v>
      </x:c>
      <x:c r="S230" t="n">
        <x:v>2612110858</x:v>
      </x:c>
      <x:c r="T230" t="n">
        <x:v>0</x:v>
      </x:c>
    </x:row>
    <x:row r="231">
      <x:c r="A231" t="str">
        <x:v>LN00230</x:v>
      </x:c>
      <x:c r="B231" t="str">
        <x:v>Large Corporate</x:v>
      </x:c>
      <x:c r="C231" t="str">
        <x:v>Manufacturing</x:v>
      </x:c>
      <x:c r="D231" t="str">
        <x:v>Dong Nai</x:v>
      </x:c>
      <x:c r="E231" t="str">
        <x:v>BBB</x:v>
      </x:c>
      <x:c r="F231" t="n">
        <x:v>21000000000</x:v>
      </x:c>
      <x:c r="G231" t="n">
        <x:v>4271903009</x:v>
      </x:c>
      <x:c r="H231" t="str">
        <x:v>Real Estate</x:v>
      </x:c>
      <x:c r="I231" t="n">
        <x:v>0.2836</x:v>
      </x:c>
      <x:c r="J231" t="n">
        <x:v>2.039</x:v>
      </x:c>
      <x:c r="K231" t="n">
        <x:v>5.535</x:v>
      </x:c>
      <x:c r="L231" t="n">
        <x:v>15</x:v>
      </x:c>
      <x:c r="M231" t="n">
        <x:v>1</x:v>
      </x:c>
      <x:c r="N231" t="n">
        <x:v>0.045104</x:v>
      </x:c>
      <x:c r="O231" t="n">
        <x:v>0.349257</x:v>
      </x:c>
      <x:c r="P231" t="n">
        <x:v>22708761203</x:v>
      </x:c>
      <x:c r="Q231" t="n">
        <x:v>1</x:v>
      </x:c>
      <x:c r="R231" t="n">
        <x:v>0.067656</x:v>
      </x:c>
      <x:c r="S231" t="n">
        <x:v>357730023</x:v>
      </x:c>
      <x:c r="T231" t="n">
        <x:v>0</x:v>
      </x:c>
    </x:row>
    <x:row r="232">
      <x:c r="A232" t="str">
        <x:v>LN00231</x:v>
      </x:c>
      <x:c r="B232" t="str">
        <x:v>Consumer Finance</x:v>
      </x:c>
      <x:c r="C232" t="str">
        <x:v>Energy</x:v>
      </x:c>
      <x:c r="D232" t="str">
        <x:v>Da Nang</x:v>
      </x:c>
      <x:c r="E232" t="str">
        <x:v>BBB</x:v>
      </x:c>
      <x:c r="F232" t="n">
        <x:v>21000000000</x:v>
      </x:c>
      <x:c r="G232" t="n">
        <x:v>356504259</x:v>
      </x:c>
      <x:c r="H232" t="str">
        <x:v>Receivables</x:v>
      </x:c>
      <x:c r="I232" t="n">
        <x:v>0.9104</x:v>
      </x:c>
      <x:c r="J232" t="n">
        <x:v>2.305</x:v>
      </x:c>
      <x:c r="K232" t="n">
        <x:v>4.43</x:v>
      </x:c>
      <x:c r="L232" t="n">
        <x:v>5</x:v>
      </x:c>
      <x:c r="M232" t="n">
        <x:v>0</x:v>
      </x:c>
      <x:c r="N232" t="n">
        <x:v>0.031373</x:v>
      </x:c>
      <x:c r="O232" t="n">
        <x:v>0.568641</x:v>
      </x:c>
      <x:c r="P232" t="n">
        <x:v>21267378194</x:v>
      </x:c>
      <x:c r="Q232" t="n">
        <x:v>1</x:v>
      </x:c>
      <x:c r="R232" t="n">
        <x:v>0.04706</x:v>
      </x:c>
      <x:c r="S232" t="n">
        <x:v>379410364</x:v>
      </x:c>
      <x:c r="T232" t="n">
        <x:v>0</x:v>
      </x:c>
    </x:row>
    <x:row r="233">
      <x:c r="A233" t="str">
        <x:v>LN00232</x:v>
      </x:c>
      <x:c r="B233" t="str">
        <x:v>SME</x:v>
      </x:c>
      <x:c r="C233" t="str">
        <x:v>Energy</x:v>
      </x:c>
      <x:c r="D233" t="str">
        <x:v>Da Nang</x:v>
      </x:c>
      <x:c r="E233" t="str">
        <x:v>A</x:v>
      </x:c>
      <x:c r="F233" t="n">
        <x:v>686000000000</x:v>
      </x:c>
      <x:c r="G233" t="n">
        <x:v>20154103836</x:v>
      </x:c>
      <x:c r="H233" t="str">
        <x:v>Inventory</x:v>
      </x:c>
      <x:c r="I233" t="n">
        <x:v>0.7373</x:v>
      </x:c>
      <x:c r="J233" t="n">
        <x:v>3.085</x:v>
      </x:c>
      <x:c r="K233" t="n">
        <x:v>4.166</x:v>
      </x:c>
      <x:c r="L233" t="n">
        <x:v>0</x:v>
      </x:c>
      <x:c r="M233" t="n">
        <x:v>0</x:v>
      </x:c>
      <x:c r="N233" t="n">
        <x:v>0.013679</x:v>
      </x:c>
      <x:c r="O233" t="n">
        <x:v>0.508064</x:v>
      </x:c>
      <x:c r="P233" t="n">
        <x:v>694061641534</x:v>
      </x:c>
      <x:c r="Q233" t="n">
        <x:v>1</x:v>
      </x:c>
      <x:c r="R233" t="n">
        <x:v>0.020519</x:v>
      </x:c>
      <x:c r="S233" t="n">
        <x:v>4823599373</x:v>
      </x:c>
      <x:c r="T233" t="n">
        <x:v>0</x:v>
      </x:c>
    </x:row>
    <x:row r="234">
      <x:c r="A234" t="str">
        <x:v>LN00233</x:v>
      </x:c>
      <x:c r="B234" t="str">
        <x:v>SME</x:v>
      </x:c>
      <x:c r="C234" t="str">
        <x:v>Technology</x:v>
      </x:c>
      <x:c r="D234" t="str">
        <x:v>Hai Phong</x:v>
      </x:c>
      <x:c r="E234" t="str">
        <x:v>CCC</x:v>
      </x:c>
      <x:c r="F234" t="n">
        <x:v>677000000000</x:v>
      </x:c>
      <x:c r="G234" t="n">
        <x:v>288833898356</x:v>
      </x:c>
      <x:c r="H234" t="str">
        <x:v>Machinery</x:v>
      </x:c>
      <x:c r="I234" t="n">
        <x:v>1.027</x:v>
      </x:c>
      <x:c r="J234" t="n">
        <x:v>1.525</x:v>
      </x:c>
      <x:c r="K234" t="n">
        <x:v>3.505</x:v>
      </x:c>
      <x:c r="L234" t="n">
        <x:v>0</x:v>
      </x:c>
      <x:c r="M234" t="n">
        <x:v>0</x:v>
      </x:c>
      <x:c r="N234" t="n">
        <x:v>0.29697</x:v>
      </x:c>
      <x:c r="O234" t="n">
        <x:v>0.609455</x:v>
      </x:c>
      <x:c r="P234" t="n">
        <x:v>792533559342</x:v>
      </x:c>
      <x:c r="Q234" t="n">
        <x:v>1</x:v>
      </x:c>
      <x:c r="R234" t="n">
        <x:v>0.445454</x:v>
      </x:c>
      <x:c r="S234" t="n">
        <x:v>143440222451</x:v>
      </x:c>
      <x:c r="T234" t="n">
        <x:v>0</x:v>
      </x:c>
    </x:row>
    <x:row r="235">
      <x:c r="A235" t="str">
        <x:v>LN00234</x:v>
      </x:c>
      <x:c r="B235" t="str">
        <x:v>Retail Mortgage</x:v>
      </x:c>
      <x:c r="C235" t="str">
        <x:v>F&amp;B</x:v>
      </x:c>
      <x:c r="D235" t="str">
        <x:v>Hai Phong</x:v>
      </x:c>
      <x:c r="E235" t="str">
        <x:v>B</x:v>
      </x:c>
      <x:c r="F235" t="n">
        <x:v>201000000000</x:v>
      </x:c>
      <x:c r="G235" t="n">
        <x:v>53720431939</x:v>
      </x:c>
      <x:c r="H235" t="str">
        <x:v>Cash</x:v>
      </x:c>
      <x:c r="I235" t="n">
        <x:v>1.089</x:v>
      </x:c>
      <x:c r="J235" t="n">
        <x:v>2.051</x:v>
      </x:c>
      <x:c r="K235" t="n">
        <x:v>3.399</x:v>
      </x:c>
      <x:c r="L235" t="n">
        <x:v>0</x:v>
      </x:c>
      <x:c r="M235" t="n">
        <x:v>0</x:v>
      </x:c>
      <x:c r="N235" t="n">
        <x:v>0.125742</x:v>
      </x:c>
      <x:c r="O235" t="n">
        <x:v>0.481142</x:v>
      </x:c>
      <x:c r="P235" t="n">
        <x:v>241290323954</x:v>
      </x:c>
      <x:c r="Q235" t="n">
        <x:v>1</x:v>
      </x:c>
      <x:c r="R235" t="n">
        <x:v>0.188613</x:v>
      </x:c>
      <x:c r="S235" t="n">
        <x:v>14598029761</x:v>
      </x:c>
      <x:c r="T235" t="n">
        <x:v>0</x:v>
      </x:c>
    </x:row>
    <x:row r="236">
      <x:c r="A236" t="str">
        <x:v>LN00235</x:v>
      </x:c>
      <x:c r="B236" t="str">
        <x:v>SME</x:v>
      </x:c>
      <x:c r="C236" t="str">
        <x:v>Retail</x:v>
      </x:c>
      <x:c r="D236" t="str">
        <x:v>Can Tho</x:v>
      </x:c>
      <x:c r="E236" t="str">
        <x:v>BB</x:v>
      </x:c>
      <x:c r="F236" t="n">
        <x:v>40000000000</x:v>
      </x:c>
      <x:c r="G236" t="n">
        <x:v>5420096185</x:v>
      </x:c>
      <x:c r="H236" t="str">
        <x:v>Unsecured</x:v>
      </x:c>
      <x:c r="I236" t="n">
        <x:v>0.6947</x:v>
      </x:c>
      <x:c r="J236" t="n">
        <x:v>1.111</x:v>
      </x:c>
      <x:c r="K236" t="n">
        <x:v>2.961</x:v>
      </x:c>
      <x:c r="L236" t="n">
        <x:v>0</x:v>
      </x:c>
      <x:c r="M236" t="n">
        <x:v>1</x:v>
      </x:c>
      <x:c r="N236" t="n">
        <x:v>0.072663</x:v>
      </x:c>
      <x:c r="O236" t="n">
        <x:v>0.693133</x:v>
      </x:c>
      <x:c r="P236" t="n">
        <x:v>42168038474</x:v>
      </x:c>
      <x:c r="Q236" t="n">
        <x:v>1</x:v>
      </x:c>
      <x:c r="R236" t="n">
        <x:v>0.108995</x:v>
      </x:c>
      <x:c r="S236" t="n">
        <x:v>2123806711</x:v>
      </x:c>
      <x:c r="T236" t="n">
        <x:v>0</x:v>
      </x:c>
    </x:row>
    <x:row r="237">
      <x:c r="A237" t="str">
        <x:v>LN00236</x:v>
      </x:c>
      <x:c r="B237" t="str">
        <x:v>SME</x:v>
      </x:c>
      <x:c r="C237" t="str">
        <x:v>Retail</x:v>
      </x:c>
      <x:c r="D237" t="str">
        <x:v>Hanoi</x:v>
      </x:c>
      <x:c r="E237" t="str">
        <x:v>A</x:v>
      </x:c>
      <x:c r="F237" t="n">
        <x:v>2144000000000</x:v>
      </x:c>
      <x:c r="G237" t="n">
        <x:v>938865908093</x:v>
      </x:c>
      <x:c r="H237" t="str">
        <x:v>Inventory</x:v>
      </x:c>
      <x:c r="I237" t="n">
        <x:v>1.1361</x:v>
      </x:c>
      <x:c r="J237" t="n">
        <x:v>1.446</x:v>
      </x:c>
      <x:c r="K237" t="n">
        <x:v>4.32</x:v>
      </x:c>
      <x:c r="L237" t="n">
        <x:v>65</x:v>
      </x:c>
      <x:c r="M237" t="n">
        <x:v>0</x:v>
      </x:c>
      <x:c r="N237" t="n">
        <x:v>0.0269</x:v>
      </x:c>
      <x:c r="O237" t="n">
        <x:v>0.647631</x:v>
      </x:c>
      <x:c r="P237" t="n">
        <x:v>2519546363237</x:v>
      </x:c>
      <x:c r="Q237" t="n">
        <x:v>2</x:v>
      </x:c>
      <x:c r="R237" t="n">
        <x:v>0.080701</x:v>
      </x:c>
      <x:c r="S237" t="n">
        <x:v>131682029442</x:v>
      </x:c>
      <x:c r="T237" t="n">
        <x:v>0</x:v>
      </x:c>
    </x:row>
    <x:row r="238">
      <x:c r="A238" t="str">
        <x:v>LN00237</x:v>
      </x:c>
      <x:c r="B238" t="str">
        <x:v>Consumer Finance</x:v>
      </x:c>
      <x:c r="C238" t="str">
        <x:v>Construction</x:v>
      </x:c>
      <x:c r="D238" t="str">
        <x:v>Hanoi</x:v>
      </x:c>
      <x:c r="E238" t="str">
        <x:v>AAA</x:v>
      </x:c>
      <x:c r="F238" t="n">
        <x:v>2742000000000</x:v>
      </x:c>
      <x:c r="G238" t="n">
        <x:v>609674961209</x:v>
      </x:c>
      <x:c r="H238" t="str">
        <x:v>Cash</x:v>
      </x:c>
      <x:c r="I238" t="n">
        <x:v>1.1804</x:v>
      </x:c>
      <x:c r="J238" t="n">
        <x:v>1.501</x:v>
      </x:c>
      <x:c r="K238" t="n">
        <x:v>5.2</x:v>
      </x:c>
      <x:c r="L238" t="n">
        <x:v>0</x:v>
      </x:c>
      <x:c r="M238" t="n">
        <x:v>3</x:v>
      </x:c>
      <x:c r="N238" t="n">
        <x:v>0.004028</x:v>
      </x:c>
      <x:c r="O238" t="n">
        <x:v>0.513137</x:v>
      </x:c>
      <x:c r="P238" t="n">
        <x:v>3199256220906</x:v>
      </x:c>
      <x:c r="Q238" t="n">
        <x:v>2</x:v>
      </x:c>
      <x:c r="R238" t="n">
        <x:v>0.012084</x:v>
      </x:c>
      <x:c r="S238" t="n">
        <x:v>19837882657</x:v>
      </x:c>
      <x:c r="T238" t="n">
        <x:v>0</x:v>
      </x:c>
    </x:row>
    <x:row r="239">
      <x:c r="A239" t="str">
        <x:v>LN00238</x:v>
      </x:c>
      <x:c r="B239" t="str">
        <x:v>Retail Mortgage</x:v>
      </x:c>
      <x:c r="C239" t="str">
        <x:v>Real Estate</x:v>
      </x:c>
      <x:c r="D239" t="str">
        <x:v>Hai Phong</x:v>
      </x:c>
      <x:c r="E239" t="str">
        <x:v>B</x:v>
      </x:c>
      <x:c r="F239" t="n">
        <x:v>2774000000000</x:v>
      </x:c>
      <x:c r="G239" t="n">
        <x:v>390352281621</x:v>
      </x:c>
      <x:c r="H239" t="str">
        <x:v>Inventory</x:v>
      </x:c>
      <x:c r="I239" t="n">
        <x:v>0.688</x:v>
      </x:c>
      <x:c r="J239" t="n">
        <x:v>1.782</x:v>
      </x:c>
      <x:c r="K239" t="n">
        <x:v>2.576</x:v>
      </x:c>
      <x:c r="L239" t="n">
        <x:v>35</x:v>
      </x:c>
      <x:c r="M239" t="n">
        <x:v>0</x:v>
      </x:c>
      <x:c r="N239" t="n">
        <x:v>0.19</x:v>
      </x:c>
      <x:c r="O239" t="n">
        <x:v>0.490809</x:v>
      </x:c>
      <x:c r="P239" t="n">
        <x:v>3066764211215</x:v>
      </x:c>
      <x:c r="Q239" t="n">
        <x:v>2</x:v>
      </x:c>
      <x:c r="R239" t="n">
        <x:v>0.57</x:v>
      </x:c>
      <x:c r="S239" t="n">
        <x:v>857962253998</x:v>
      </x:c>
      <x:c r="T239" t="n">
        <x:v>0</x:v>
      </x:c>
    </x:row>
    <x:row r="240">
      <x:c r="A240" t="str">
        <x:v>LN00239</x:v>
      </x:c>
      <x:c r="B240" t="str">
        <x:v>Retail Mortgage</x:v>
      </x:c>
      <x:c r="C240" t="str">
        <x:v>F&amp;B</x:v>
      </x:c>
      <x:c r="D240" t="str">
        <x:v>HCMC</x:v>
      </x:c>
      <x:c r="E240" t="str">
        <x:v>CCC</x:v>
      </x:c>
      <x:c r="F240" t="n">
        <x:v>1528000000000</x:v>
      </x:c>
      <x:c r="G240" t="n">
        <x:v>560369445485</x:v>
      </x:c>
      <x:c r="H240" t="str">
        <x:v>Real Estate</x:v>
      </x:c>
      <x:c r="I240" t="n">
        <x:v>0.7329</x:v>
      </x:c>
      <x:c r="J240" t="n">
        <x:v>2.308</x:v>
      </x:c>
      <x:c r="K240" t="n">
        <x:v>4.284</x:v>
      </x:c>
      <x:c r="L240" t="n">
        <x:v>15</x:v>
      </x:c>
      <x:c r="M240" t="n">
        <x:v>0</x:v>
      </x:c>
      <x:c r="N240" t="n">
        <x:v>0.393143</x:v>
      </x:c>
      <x:c r="O240" t="n">
        <x:v>0.506503</x:v>
      </x:c>
      <x:c r="P240" t="n">
        <x:v>1948277084113</x:v>
      </x:c>
      <x:c r="Q240" t="n">
        <x:v>1</x:v>
      </x:c>
      <x:c r="R240" t="n">
        <x:v>0.589714</x:v>
      </x:c>
      <x:c r="S240" t="n">
        <x:v>387956604266</x:v>
      </x:c>
      <x:c r="T240" t="n">
        <x:v>0</x:v>
      </x:c>
    </x:row>
    <x:row r="241">
      <x:c r="A241" t="str">
        <x:v>LN00240</x:v>
      </x:c>
      <x:c r="B241" t="str">
        <x:v>Consumer Finance</x:v>
      </x:c>
      <x:c r="C241" t="str">
        <x:v>Real Estate</x:v>
      </x:c>
      <x:c r="D241" t="str">
        <x:v>Hai Phong</x:v>
      </x:c>
      <x:c r="E241" t="str">
        <x:v>BB</x:v>
      </x:c>
      <x:c r="F241" t="n">
        <x:v>426000000000</x:v>
      </x:c>
      <x:c r="G241" t="n">
        <x:v>79752513278</x:v>
      </x:c>
      <x:c r="H241" t="str">
        <x:v>Machinery</x:v>
      </x:c>
      <x:c r="I241" t="n">
        <x:v>1.1066</x:v>
      </x:c>
      <x:c r="J241" t="n">
        <x:v>0.966</x:v>
      </x:c>
      <x:c r="K241" t="n">
        <x:v>1.839</x:v>
      </x:c>
      <x:c r="L241" t="n">
        <x:v>0</x:v>
      </x:c>
      <x:c r="M241" t="n">
        <x:v>0</x:v>
      </x:c>
      <x:c r="N241" t="n">
        <x:v>0.065278</x:v>
      </x:c>
      <x:c r="O241" t="n">
        <x:v>0.637316</x:v>
      </x:c>
      <x:c r="P241" t="n">
        <x:v>485814384958</x:v>
      </x:c>
      <x:c r="Q241" t="n">
        <x:v>1</x:v>
      </x:c>
      <x:c r="R241" t="n">
        <x:v>0.097917</x:v>
      </x:c>
      <x:c r="S241" t="n">
        <x:v>20211154675</x:v>
      </x:c>
      <x:c r="T241" t="n">
        <x:v>0</x:v>
      </x:c>
    </x:row>
    <x:row r="242">
      <x:c r="A242" t="str">
        <x:v>LN00241</x:v>
      </x:c>
      <x:c r="B242" t="str">
        <x:v>Retail Mortgage</x:v>
      </x:c>
      <x:c r="C242" t="str">
        <x:v>Construction</x:v>
      </x:c>
      <x:c r="D242" t="str">
        <x:v>Binh Duong</x:v>
      </x:c>
      <x:c r="E242" t="str">
        <x:v>B</x:v>
      </x:c>
      <x:c r="F242" t="n">
        <x:v>190000000000</x:v>
      </x:c>
      <x:c r="G242" t="n">
        <x:v>5415231975</x:v>
      </x:c>
      <x:c r="H242" t="str">
        <x:v>Receivables</x:v>
      </x:c>
      <x:c r="I242" t="n">
        <x:v>0.8323</x:v>
      </x:c>
      <x:c r="J242" t="n">
        <x:v>1.728</x:v>
      </x:c>
      <x:c r="K242" t="n">
        <x:v>4.356</x:v>
      </x:c>
      <x:c r="L242" t="n">
        <x:v>0</x:v>
      </x:c>
      <x:c r="M242" t="n">
        <x:v>2</x:v>
      </x:c>
      <x:c r="N242" t="n">
        <x:v>0.199526</x:v>
      </x:c>
      <x:c r="O242" t="n">
        <x:v>0.541293</x:v>
      </x:c>
      <x:c r="P242" t="n">
        <x:v>194061423981</x:v>
      </x:c>
      <x:c r="Q242" t="n">
        <x:v>2</x:v>
      </x:c>
      <x:c r="R242" t="n">
        <x:v>0.598579</x:v>
      </x:c>
      <x:c r="S242" t="n">
        <x:v>62877138710</x:v>
      </x:c>
      <x:c r="T242" t="n">
        <x:v>0</x:v>
      </x:c>
    </x:row>
    <x:row r="243">
      <x:c r="A243" t="str">
        <x:v>LN00242</x:v>
      </x:c>
      <x:c r="B243" t="str">
        <x:v>Large Corporate</x:v>
      </x:c>
      <x:c r="C243" t="str">
        <x:v>Healthcare</x:v>
      </x:c>
      <x:c r="D243" t="str">
        <x:v>Binh Duong</x:v>
      </x:c>
      <x:c r="E243" t="str">
        <x:v>BB</x:v>
      </x:c>
      <x:c r="F243" t="n">
        <x:v>2978000000000</x:v>
      </x:c>
      <x:c r="G243" t="n">
        <x:v>333118030799</x:v>
      </x:c>
      <x:c r="H243" t="str">
        <x:v>Unsecured</x:v>
      </x:c>
      <x:c r="I243" t="n">
        <x:v>0.5294</x:v>
      </x:c>
      <x:c r="J243" t="n">
        <x:v>1.332</x:v>
      </x:c>
      <x:c r="K243" t="n">
        <x:v>4.934</x:v>
      </x:c>
      <x:c r="L243" t="n">
        <x:v>0</x:v>
      </x:c>
      <x:c r="M243" t="n">
        <x:v>3</x:v>
      </x:c>
      <x:c r="N243" t="n">
        <x:v>0.109011</x:v>
      </x:c>
      <x:c r="O243" t="n">
        <x:v>0.635305</x:v>
      </x:c>
      <x:c r="P243" t="n">
        <x:v>3111247212319</x:v>
      </x:c>
      <x:c r="Q243" t="n">
        <x:v>2</x:v>
      </x:c>
      <x:c r="R243" t="n">
        <x:v>0.327034</x:v>
      </x:c>
      <x:c r="S243" t="n">
        <x:v>646412201452</x:v>
      </x:c>
      <x:c r="T243" t="n">
        <x:v>0</x:v>
      </x:c>
    </x:row>
    <x:row r="244">
      <x:c r="A244" t="str">
        <x:v>LN00243</x:v>
      </x:c>
      <x:c r="B244" t="str">
        <x:v>Retail Mortgage</x:v>
      </x:c>
      <x:c r="C244" t="str">
        <x:v>Technology</x:v>
      </x:c>
      <x:c r="D244" t="str">
        <x:v>Can Tho</x:v>
      </x:c>
      <x:c r="E244" t="str">
        <x:v>B</x:v>
      </x:c>
      <x:c r="F244" t="n">
        <x:v>2015000000000</x:v>
      </x:c>
      <x:c r="G244" t="n">
        <x:v>290734712235</x:v>
      </x:c>
      <x:c r="H244" t="str">
        <x:v>Real Estate</x:v>
      </x:c>
      <x:c r="I244" t="n">
        <x:v>0.5714</x:v>
      </x:c>
      <x:c r="J244" t="n">
        <x:v>2.188</x:v>
      </x:c>
      <x:c r="K244" t="n">
        <x:v>1.431</x:v>
      </x:c>
      <x:c r="L244" t="n">
        <x:v>0</x:v>
      </x:c>
      <x:c r="M244" t="n">
        <x:v>0</x:v>
      </x:c>
      <x:c r="N244" t="n">
        <x:v>0.12</x:v>
      </x:c>
      <x:c r="O244" t="n">
        <x:v>0.449994</x:v>
      </x:c>
      <x:c r="P244" t="n">
        <x:v>2233051034176</x:v>
      </x:c>
      <x:c r="Q244" t="n">
        <x:v>1</x:v>
      </x:c>
      <x:c r="R244" t="n">
        <x:v>0.18</x:v>
      </x:c>
      <x:c r="S244" t="n">
        <x:v>120583200549</x:v>
      </x:c>
      <x:c r="T244" t="n">
        <x:v>0</x:v>
      </x:c>
    </x:row>
    <x:row r="245">
      <x:c r="A245" t="str">
        <x:v>LN00244</x:v>
      </x:c>
      <x:c r="B245" t="str">
        <x:v>Large Corporate</x:v>
      </x:c>
      <x:c r="C245" t="str">
        <x:v>Transport</x:v>
      </x:c>
      <x:c r="D245" t="str">
        <x:v>Binh Duong</x:v>
      </x:c>
      <x:c r="E245" t="str">
        <x:v>BBB</x:v>
      </x:c>
      <x:c r="F245" t="n">
        <x:v>2678000000000</x:v>
      </x:c>
      <x:c r="G245" t="n">
        <x:v>21413577175</x:v>
      </x:c>
      <x:c r="H245" t="str">
        <x:v>Receivables</x:v>
      </x:c>
      <x:c r="I245" t="n">
        <x:v>1.1047</x:v>
      </x:c>
      <x:c r="J245" t="n">
        <x:v>1.678</x:v>
      </x:c>
      <x:c r="K245" t="n">
        <x:v>3.416</x:v>
      </x:c>
      <x:c r="L245" t="n">
        <x:v>15</x:v>
      </x:c>
      <x:c r="M245" t="n">
        <x:v>2</x:v>
      </x:c>
      <x:c r="N245" t="n">
        <x:v>0.044997</x:v>
      </x:c>
      <x:c r="O245" t="n">
        <x:v>0.636629</x:v>
      </x:c>
      <x:c r="P245" t="n">
        <x:v>2686565430870</x:v>
      </x:c>
      <x:c r="Q245" t="n">
        <x:v>2</x:v>
      </x:c>
      <x:c r="R245" t="n">
        <x:v>0.134991</x:v>
      </x:c>
      <x:c r="S245" t="n">
        <x:v>230880674605</x:v>
      </x:c>
      <x:c r="T245" t="n">
        <x:v>0</x:v>
      </x:c>
    </x:row>
    <x:row r="246">
      <x:c r="A246" t="str">
        <x:v>LN00245</x:v>
      </x:c>
      <x:c r="B246" t="str">
        <x:v>Consumer Finance</x:v>
      </x:c>
      <x:c r="C246" t="str">
        <x:v>Technology</x:v>
      </x:c>
      <x:c r="D246" t="str">
        <x:v>Da Nang</x:v>
      </x:c>
      <x:c r="E246" t="str">
        <x:v>A</x:v>
      </x:c>
      <x:c r="F246" t="n">
        <x:v>224000000000</x:v>
      </x:c>
      <x:c r="G246" t="n">
        <x:v>82312139606</x:v>
      </x:c>
      <x:c r="H246" t="str">
        <x:v>Inventory</x:v>
      </x:c>
      <x:c r="I246" t="n">
        <x:v>0.9503</x:v>
      </x:c>
      <x:c r="J246" t="n">
        <x:v>1.39</x:v>
      </x:c>
      <x:c r="K246" t="n">
        <x:v>3.407</x:v>
      </x:c>
      <x:c r="L246" t="n">
        <x:v>0</x:v>
      </x:c>
      <x:c r="M246" t="n">
        <x:v>0</x:v>
      </x:c>
      <x:c r="N246" t="n">
        <x:v>0.012586</x:v>
      </x:c>
      <x:c r="O246" t="n">
        <x:v>0.582619</x:v>
      </x:c>
      <x:c r="P246" t="n">
        <x:v>285734104704</x:v>
      </x:c>
      <x:c r="Q246" t="n">
        <x:v>1</x:v>
      </x:c>
      <x:c r="R246" t="n">
        <x:v>0.018879</x:v>
      </x:c>
      <x:c r="S246" t="n">
        <x:v>2095248838</x:v>
      </x:c>
      <x:c r="T246" t="n">
        <x:v>0</x:v>
      </x:c>
    </x:row>
    <x:row r="247">
      <x:c r="A247" t="str">
        <x:v>LN00246</x:v>
      </x:c>
      <x:c r="B247" t="str">
        <x:v>SME</x:v>
      </x:c>
      <x:c r="C247" t="str">
        <x:v>F&amp;B</x:v>
      </x:c>
      <x:c r="D247" t="str">
        <x:v>Can Tho</x:v>
      </x:c>
      <x:c r="E247" t="str">
        <x:v>BBB</x:v>
      </x:c>
      <x:c r="F247" t="n">
        <x:v>2877000000000</x:v>
      </x:c>
      <x:c r="G247" t="n">
        <x:v>137650074098</x:v>
      </x:c>
      <x:c r="H247" t="str">
        <x:v>Inventory</x:v>
      </x:c>
      <x:c r="I247" t="n">
        <x:v>0.6641</x:v>
      </x:c>
      <x:c r="J247" t="n">
        <x:v>2.311</x:v>
      </x:c>
      <x:c r="K247" t="n">
        <x:v>2.216</x:v>
      </x:c>
      <x:c r="L247" t="n">
        <x:v>0</x:v>
      </x:c>
      <x:c r="M247" t="n">
        <x:v>0</x:v>
      </x:c>
      <x:c r="N247" t="n">
        <x:v>0.025</x:v>
      </x:c>
      <x:c r="O247" t="n">
        <x:v>0.48244</x:v>
      </x:c>
      <x:c r="P247" t="n">
        <x:v>2932060029639</x:v>
      </x:c>
      <x:c r="Q247" t="n">
        <x:v>1</x:v>
      </x:c>
      <x:c r="R247" t="n">
        <x:v>0.0375</x:v>
      </x:c>
      <x:c r="S247" t="n">
        <x:v>35363550617</x:v>
      </x:c>
      <x:c r="T247" t="n">
        <x:v>0</x:v>
      </x:c>
    </x:row>
    <x:row r="248">
      <x:c r="A248" t="str">
        <x:v>LN00247</x:v>
      </x:c>
      <x:c r="B248" t="str">
        <x:v>Retail Mortgage</x:v>
      </x:c>
      <x:c r="C248" t="str">
        <x:v>Technology</x:v>
      </x:c>
      <x:c r="D248" t="str">
        <x:v>Hanoi</x:v>
      </x:c>
      <x:c r="E248" t="str">
        <x:v>BBB</x:v>
      </x:c>
      <x:c r="F248" t="n">
        <x:v>2937000000000</x:v>
      </x:c>
      <x:c r="G248" t="n">
        <x:v>446629874504</x:v>
      </x:c>
      <x:c r="H248" t="str">
        <x:v>Machinery</x:v>
      </x:c>
      <x:c r="I248" t="n">
        <x:v>0.8528</x:v>
      </x:c>
      <x:c r="J248" t="n">
        <x:v>1.63</x:v>
      </x:c>
      <x:c r="K248" t="n">
        <x:v>1.8</x:v>
      </x:c>
      <x:c r="L248" t="n">
        <x:v>0</x:v>
      </x:c>
      <x:c r="M248" t="n">
        <x:v>0</x:v>
      </x:c>
      <x:c r="N248" t="n">
        <x:v>0.025</x:v>
      </x:c>
      <x:c r="O248" t="n">
        <x:v>0.54847</x:v>
      </x:c>
      <x:c r="P248" t="n">
        <x:v>3271972405878</x:v>
      </x:c>
      <x:c r="Q248" t="n">
        <x:v>1</x:v>
      </x:c>
      <x:c r="R248" t="n">
        <x:v>0.0375</x:v>
      </x:c>
      <x:c r="S248" t="n">
        <x:v>44864471050</x:v>
      </x:c>
      <x:c r="T248" t="n">
        <x:v>0</x:v>
      </x:c>
    </x:row>
    <x:row r="249">
      <x:c r="A249" t="str">
        <x:v>LN00248</x:v>
      </x:c>
      <x:c r="B249" t="str">
        <x:v>SME</x:v>
      </x:c>
      <x:c r="C249" t="str">
        <x:v>Real Estate</x:v>
      </x:c>
      <x:c r="D249" t="str">
        <x:v>Binh Duong</x:v>
      </x:c>
      <x:c r="E249" t="str">
        <x:v>BB</x:v>
      </x:c>
      <x:c r="F249" t="n">
        <x:v>2398000000000</x:v>
      </x:c>
      <x:c r="G249" t="n">
        <x:v>521131881851</x:v>
      </x:c>
      <x:c r="H249" t="str">
        <x:v>Receivables</x:v>
      </x:c>
      <x:c r="I249" t="n">
        <x:v>1.1449</x:v>
      </x:c>
      <x:c r="J249" t="n">
        <x:v>0.562</x:v>
      </x:c>
      <x:c r="K249" t="n">
        <x:v>3.035</x:v>
      </x:c>
      <x:c r="L249" t="n">
        <x:v>5</x:v>
      </x:c>
      <x:c r="M249" t="n">
        <x:v>0</x:v>
      </x:c>
      <x:c r="N249" t="n">
        <x:v>0.087887</x:v>
      </x:c>
      <x:c r="O249" t="n">
        <x:v>0.650702</x:v>
      </x:c>
      <x:c r="P249" t="n">
        <x:v>2606452752740</x:v>
      </x:c>
      <x:c r="Q249" t="n">
        <x:v>1</x:v>
      </x:c>
      <x:c r="R249" t="n">
        <x:v>0.13183</x:v>
      </x:c>
      <x:c r="S249" t="n">
        <x:v>149057709943</x:v>
      </x:c>
      <x:c r="T249" t="n">
        <x:v>0</x:v>
      </x:c>
    </x:row>
    <x:row r="250">
      <x:c r="A250" t="str">
        <x:v>LN00249</x:v>
      </x:c>
      <x:c r="B250" t="str">
        <x:v>Retail Mortgage</x:v>
      </x:c>
      <x:c r="C250" t="str">
        <x:v>Agriculture</x:v>
      </x:c>
      <x:c r="D250" t="str">
        <x:v>Can Tho</x:v>
      </x:c>
      <x:c r="E250" t="str">
        <x:v>B</x:v>
      </x:c>
      <x:c r="F250" t="n">
        <x:v>2496000000000</x:v>
      </x:c>
      <x:c r="G250" t="n">
        <x:v>1028750383474</x:v>
      </x:c>
      <x:c r="H250" t="str">
        <x:v>Receivables</x:v>
      </x:c>
      <x:c r="I250" t="n">
        <x:v>0.8624</x:v>
      </x:c>
      <x:c r="J250" t="n">
        <x:v>1.362</x:v>
      </x:c>
      <x:c r="K250" t="n">
        <x:v>6.819</x:v>
      </x:c>
      <x:c r="L250" t="n">
        <x:v>0</x:v>
      </x:c>
      <x:c r="M250" t="n">
        <x:v>1</x:v>
      </x:c>
      <x:c r="N250" t="n">
        <x:v>0.205</x:v>
      </x:c>
      <x:c r="O250" t="n">
        <x:v>0.551847</x:v>
      </x:c>
      <x:c r="P250" t="n">
        <x:v>3267562787605</x:v>
      </x:c>
      <x:c r="Q250" t="n">
        <x:v>1</x:v>
      </x:c>
      <x:c r="R250" t="n">
        <x:v>0.3075</x:v>
      </x:c>
      <x:c r="S250" t="n">
        <x:v>369655062073</x:v>
      </x:c>
      <x:c r="T250" t="n">
        <x:v>0</x:v>
      </x:c>
    </x:row>
    <x:row r="251">
      <x:c r="A251" t="str">
        <x:v>LN00250</x:v>
      </x:c>
      <x:c r="B251" t="str">
        <x:v>Retail Mortgage</x:v>
      </x:c>
      <x:c r="C251" t="str">
        <x:v>Transport</x:v>
      </x:c>
      <x:c r="D251" t="str">
        <x:v>Binh Duong</x:v>
      </x:c>
      <x:c r="E251" t="str">
        <x:v>BB</x:v>
      </x:c>
      <x:c r="F251" t="n">
        <x:v>2593000000000</x:v>
      </x:c>
      <x:c r="G251" t="n">
        <x:v>253606162658</x:v>
      </x:c>
      <x:c r="H251" t="str">
        <x:v>Cash</x:v>
      </x:c>
      <x:c r="I251" t="n">
        <x:v>0.8812</x:v>
      </x:c>
      <x:c r="J251" t="n">
        <x:v>2.018</x:v>
      </x:c>
      <x:c r="K251" t="n">
        <x:v>5.346</x:v>
      </x:c>
      <x:c r="L251" t="n">
        <x:v>0</x:v>
      </x:c>
      <x:c r="M251" t="n">
        <x:v>1</x:v>
      </x:c>
      <x:c r="N251" t="n">
        <x:v>0.084232</x:v>
      </x:c>
      <x:c r="O251" t="n">
        <x:v>0.408435</x:v>
      </x:c>
      <x:c r="P251" t="n">
        <x:v>2783204621993</x:v>
      </x:c>
      <x:c r="Q251" t="n">
        <x:v>1</x:v>
      </x:c>
      <x:c r="R251" t="n">
        <x:v>0.126348</x:v>
      </x:c>
      <x:c r="S251" t="n">
        <x:v>95751172574</x:v>
      </x:c>
      <x:c r="T25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1b931452d241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29" t="str">
        <x:v>PD Model Framework and Scorecard Logic</x:v>
      </x:c>
    </x:row>
    <x:row r="3">
      <x:c r="A3" s="12" t="str">
        <x:v>Component</x:v>
      </x:c>
      <x:c r="B3" s="12" t="str">
        <x:v>Variable</x:v>
      </x:c>
      <x:c r="C3" s="12" t="str">
        <x:v>Direction</x:v>
      </x:c>
      <x:c r="D3" s="12" t="str">
        <x:v>Interpretation</x:v>
      </x:c>
      <x:c r="E3" s="12" t="str">
        <x:v>Model Treatment</x:v>
      </x:c>
      <x:c r="G3" s="12" t="str">
        <x:v>Metric</x:v>
      </x:c>
      <x:c r="H3" s="12" t="str">
        <x:v>Prototype Result</x:v>
      </x:c>
    </x:row>
    <x:row r="4">
      <x:c r="A4" s="25" t="str">
        <x:v>Financial strength</x:v>
      </x:c>
      <x:c r="B4" s="25" t="str">
        <x:v>DSCR</x:v>
      </x:c>
      <x:c r="C4" s="25" t="str">
        <x:v>Lower = higher risk</x:v>
      </x:c>
      <x:c r="D4" s="25" t="str">
        <x:v>Debt service capacity</x:v>
      </x:c>
      <x:c r="E4" s="25" t="str">
        <x:v>Logistic / scorecard variable</x:v>
      </x:c>
      <x:c r="G4" t="str">
        <x:v>AUC</x:v>
      </x:c>
      <x:c r="H4" s="46" t="n">
        <x:v>0.78</x:v>
      </x:c>
    </x:row>
    <x:row r="5">
      <x:c r="A5" s="25" t="str">
        <x:v>Leverage</x:v>
      </x:c>
      <x:c r="B5" s="25" t="str">
        <x:v>Debt/EBITDA</x:v>
      </x:c>
      <x:c r="C5" s="25" t="str">
        <x:v>Higher = higher risk</x:v>
      </x:c>
      <x:c r="D5" s="25" t="str">
        <x:v>Balance sheet stress</x:v>
      </x:c>
      <x:c r="E5" s="25" t="str">
        <x:v>Winsorised continuous variable</x:v>
      </x:c>
      <x:c r="G5" t="str">
        <x:v>Gini</x:v>
      </x:c>
      <x:c r="H5" s="46" t="n">
        <x:f>2*H4-1</x:f>
        <x:v>0.56</x:v>
      </x:c>
    </x:row>
    <x:row r="6">
      <x:c r="A6" s="25" t="str">
        <x:v>Behaviour</x:v>
      </x:c>
      <x:c r="B6" s="25" t="str">
        <x:v>DPD</x:v>
      </x:c>
      <x:c r="C6" s="25" t="str">
        <x:v>Higher = higher risk</x:v>
      </x:c>
      <x:c r="D6" s="25" t="str">
        <x:v>Payment delay signal</x:v>
      </x:c>
      <x:c r="E6" s="25" t="str">
        <x:v>Bucketed variable</x:v>
      </x:c>
      <x:c r="G6" t="str">
        <x:v>KS</x:v>
      </x:c>
      <x:c r="H6" s="46" t="n">
        <x:v>0.42</x:v>
      </x:c>
    </x:row>
    <x:row r="7">
      <x:c r="A7" s="25" t="str">
        <x:v>Rating migration</x:v>
      </x:c>
      <x:c r="B7" s="25" t="str">
        <x:v>Downgrade notches</x:v>
      </x:c>
      <x:c r="C7" s="25" t="str">
        <x:v>Higher = higher risk</x:v>
      </x:c>
      <x:c r="D7" s="25" t="str">
        <x:v>SICR and PD shift</x:v>
      </x:c>
      <x:c r="E7" s="25" t="str">
        <x:v>Ordinal variable</x:v>
      </x:c>
      <x:c r="G7" t="str">
        <x:v>PSI</x:v>
      </x:c>
      <x:c r="H7" s="46" t="n">
        <x:v>0.08</x:v>
      </x:c>
    </x:row>
    <x:row r="8">
      <x:c r="A8" s="25" t="str">
        <x:v>Collateral</x:v>
      </x:c>
      <x:c r="B8" s="25" t="str">
        <x:v>LTV</x:v>
      </x:c>
      <x:c r="C8" s="25" t="str">
        <x:v>Higher = higher LGD</x:v>
      </x:c>
      <x:c r="D8" s="25" t="str">
        <x:v>Collateral buffer</x:v>
      </x:c>
      <x:c r="E8" s="25" t="str">
        <x:v>LGD model input</x:v>
      </x:c>
      <x:c r="G8" t="str">
        <x:v>Status</x:v>
      </x:c>
      <x:c r="H8" t="str">
        <x:v>Pass / monitor</x:v>
      </x:c>
    </x:row>
    <x:row r="9">
      <x:c r="A9" s="25" t="str">
        <x:v>Sector</x:v>
      </x:c>
      <x:c r="B9" s="25" t="str">
        <x:v>Industry stress</x:v>
      </x:c>
      <x:c r="C9" s="25" t="str">
        <x:v>Sector-specific</x:v>
      </x:c>
      <x:c r="D9" s="25" t="str">
        <x:v>Macro sensitive risk</x:v>
      </x:c>
      <x:c r="E9" s="25" t="str">
        <x:v>Macro overlay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2" t="str">
        <x:v>loan_id</x:v>
      </x:c>
      <x:c r="B1" s="12" t="str">
        <x:v>stage</x:v>
      </x:c>
      <x:c r="C1" s="44" t="str">
        <x:v>pd_12m</x:v>
      </x:c>
      <x:c r="D1" s="44" t="str">
        <x:v>lifetime_pd</x:v>
      </x:c>
      <x:c r="E1" s="44" t="str">
        <x:v>lgd</x:v>
      </x:c>
      <x:c r="F1" s="42" t="str">
        <x:v>ead_vnd</x:v>
      </x:c>
      <x:c r="G1" s="42" t="str">
        <x:v>selected_pd</x:v>
      </x:c>
      <x:c r="H1" s="42" t="str">
        <x:v>ecl_vnd</x:v>
      </x:c>
      <x:c r="I1" s="12" t="str">
        <x:v>rule</x:v>
      </x:c>
    </x:row>
    <x:row r="2">
      <x:c r="A2" t="str">
        <x:f>'02_Loan_Portfolio'!A2</x:f>
        <x:v>LN00001</x:v>
      </x:c>
      <x:c r="B2" t="n">
        <x:f>'02_Loan_Portfolio'!Q2</x:f>
        <x:v>1</x:v>
      </x:c>
      <x:c r="C2" t="n">
        <x:f>'02_Loan_Portfolio'!N2</x:f>
        <x:v>0.055</x:v>
      </x:c>
      <x:c r="D2" t="n">
        <x:f>'02_Loan_Portfolio'!R2</x:f>
        <x:v>0.0825</x:v>
      </x:c>
      <x:c r="E2" t="n">
        <x:f>'02_Loan_Portfolio'!O2</x:f>
        <x:v>0.639471</x:v>
      </x:c>
      <x:c r="F2" t="n">
        <x:f>'02_Loan_Portfolio'!P2</x:f>
        <x:v>959138150603</x:v>
      </x:c>
      <x:c r="G2" t="n">
        <x:f>IF(B2=1,C2,D2)</x:f>
        <x:v>0.055</x:v>
      </x:c>
      <x:c r="H2" t="n">
        <x:f>G2*E2*F2</x:f>
        <x:v>33733756776.733807</x:v>
      </x:c>
      <x:c r="I2" t="str">
        <x:f>IF(B2=1,"12M ECL","Lifetime ECL")</x:f>
        <x:v>12M ECL</x:v>
      </x:c>
    </x:row>
    <x:row r="3">
      <x:c r="A3" t="str">
        <x:f>'02_Loan_Portfolio'!A3</x:f>
        <x:v>LN00002</x:v>
      </x:c>
      <x:c r="B3" t="n">
        <x:f>'02_Loan_Portfolio'!Q3</x:f>
        <x:v>1</x:v>
      </x:c>
      <x:c r="C3" t="n">
        <x:f>'02_Loan_Portfolio'!N3</x:f>
        <x:v>0.02766</x:v>
      </x:c>
      <x:c r="D3" t="n">
        <x:f>'02_Loan_Portfolio'!R3</x:f>
        <x:v>0.041489</x:v>
      </x:c>
      <x:c r="E3" t="n">
        <x:f>'02_Loan_Portfolio'!O3</x:f>
        <x:v>0.48366</x:v>
      </x:c>
      <x:c r="F3" t="n">
        <x:f>'02_Loan_Portfolio'!P3</x:f>
        <x:v>737310634668</x:v>
      </x:c>
      <x:c r="G3" t="n">
        <x:f>IF(B3=1,C3,D3)</x:f>
        <x:v>0.02766</x:v>
      </x:c>
      <x:c r="H3" t="n">
        <x:f>G3*E3*F3</x:f>
        <x:v>9863767918.847097</x:v>
      </x:c>
      <x:c r="I3" t="str">
        <x:f>IF(B3=1,"12M ECL","Lifetime ECL")</x:f>
        <x:v>12M ECL</x:v>
      </x:c>
    </x:row>
    <x:row r="4">
      <x:c r="A4" t="str">
        <x:f>'02_Loan_Portfolio'!A4</x:f>
        <x:v>LN00003</x:v>
      </x:c>
      <x:c r="B4" t="n">
        <x:f>'02_Loan_Portfolio'!Q4</x:f>
        <x:v>1</x:v>
      </x:c>
      <x:c r="C4" t="n">
        <x:f>'02_Loan_Portfolio'!N4</x:f>
        <x:v>0.14673</x:v>
      </x:c>
      <x:c r="D4" t="n">
        <x:f>'02_Loan_Portfolio'!R4</x:f>
        <x:v>0.220095</x:v>
      </x:c>
      <x:c r="E4" t="n">
        <x:f>'02_Loan_Portfolio'!O4</x:f>
        <x:v>0.593999</x:v>
      </x:c>
      <x:c r="F4" t="n">
        <x:f>'02_Loan_Portfolio'!P4</x:f>
        <x:v>356195009615</x:v>
      </x:c>
      <x:c r="G4" t="n">
        <x:f>IF(B4=1,C4,D4)</x:f>
        <x:v>0.14673</x:v>
      </x:c>
      <x:c r="H4" t="n">
        <x:f>G4*E4*F4</x:f>
        <x:v>31045057029.426758</x:v>
      </x:c>
      <x:c r="I4" t="str">
        <x:f>IF(B4=1,"12M ECL","Lifetime ECL")</x:f>
        <x:v>12M ECL</x:v>
      </x:c>
    </x:row>
    <x:row r="5">
      <x:c r="A5" t="str">
        <x:f>'02_Loan_Portfolio'!A5</x:f>
        <x:v>LN00004</x:v>
      </x:c>
      <x:c r="B5" t="n">
        <x:f>'02_Loan_Portfolio'!Q5</x:f>
        <x:v>1</x:v>
      </x:c>
      <x:c r="C5" t="n">
        <x:f>'02_Loan_Portfolio'!N5</x:f>
        <x:v>0.013826</x:v>
      </x:c>
      <x:c r="D5" t="n">
        <x:f>'02_Loan_Portfolio'!R5</x:f>
        <x:v>0.020739</x:v>
      </x:c>
      <x:c r="E5" t="n">
        <x:f>'02_Loan_Portfolio'!O5</x:f>
        <x:v>0.526927</x:v>
      </x:c>
      <x:c r="F5" t="n">
        <x:f>'02_Loan_Portfolio'!P5</x:f>
        <x:v>712510559486</x:v>
      </x:c>
      <x:c r="G5" t="n">
        <x:f>IF(B5=1,C5,D5)</x:f>
        <x:v>0.013826</x:v>
      </x:c>
      <x:c r="H5" t="n">
        <x:f>G5*E5*F5</x:f>
        <x:v>5190847979.121293</x:v>
      </x:c>
      <x:c r="I5" t="str">
        <x:f>IF(B5=1,"12M ECL","Lifetime ECL")</x:f>
        <x:v>12M ECL</x:v>
      </x:c>
    </x:row>
    <x:row r="6">
      <x:c r="A6" t="str">
        <x:f>'02_Loan_Portfolio'!A6</x:f>
        <x:v>LN00005</x:v>
      </x:c>
      <x:c r="B6" t="n">
        <x:f>'02_Loan_Portfolio'!Q6</x:f>
        <x:v>1</x:v>
      </x:c>
      <x:c r="C6" t="n">
        <x:f>'02_Loan_Portfolio'!N6</x:f>
        <x:v>0.025278</x:v>
      </x:c>
      <x:c r="D6" t="n">
        <x:f>'02_Loan_Portfolio'!R6</x:f>
        <x:v>0.037918</x:v>
      </x:c>
      <x:c r="E6" t="n">
        <x:f>'02_Loan_Portfolio'!O6</x:f>
        <x:v>0.607209</x:v>
      </x:c>
      <x:c r="F6" t="n">
        <x:f>'02_Loan_Portfolio'!P6</x:f>
        <x:v>240523818832</x:v>
      </x:c>
      <x:c r="G6" t="n">
        <x:f>IF(B6=1,C6,D6)</x:f>
        <x:v>0.025278</x:v>
      </x:c>
      <x:c r="H6" t="n">
        <x:f>G6*E6*F6</x:f>
        <x:v>3691807094.9765434</x:v>
      </x:c>
      <x:c r="I6" t="str">
        <x:f>IF(B6=1,"12M ECL","Lifetime ECL")</x:f>
        <x:v>12M ECL</x:v>
      </x:c>
    </x:row>
    <x:row r="7">
      <x:c r="A7" t="str">
        <x:f>'02_Loan_Portfolio'!A7</x:f>
        <x:v>LN00006</x:v>
      </x:c>
      <x:c r="B7" t="n">
        <x:f>'02_Loan_Portfolio'!Q7</x:f>
        <x:v>1</x:v>
      </x:c>
      <x:c r="C7" t="n">
        <x:f>'02_Loan_Portfolio'!N7</x:f>
        <x:v>0.029129</x:v>
      </x:c>
      <x:c r="D7" t="n">
        <x:f>'02_Loan_Portfolio'!R7</x:f>
        <x:v>0.043693</x:v>
      </x:c>
      <x:c r="E7" t="n">
        <x:f>'02_Loan_Portfolio'!O7</x:f>
        <x:v>0.347252</x:v>
      </x:c>
      <x:c r="F7" t="n">
        <x:f>'02_Loan_Portfolio'!P7</x:f>
        <x:v>1349782300024</x:v>
      </x:c>
      <x:c r="G7" t="n">
        <x:f>IF(B7=1,C7,D7)</x:f>
        <x:v>0.029129</x:v>
      </x:c>
      <x:c r="H7" t="n">
        <x:f>G7*E7*F7</x:f>
        <x:v>13653187678.009071</x:v>
      </x:c>
      <x:c r="I7" t="str">
        <x:f>IF(B7=1,"12M ECL","Lifetime ECL")</x:f>
        <x:v>12M ECL</x:v>
      </x:c>
    </x:row>
    <x:row r="8">
      <x:c r="A8" t="str">
        <x:f>'02_Loan_Portfolio'!A8</x:f>
        <x:v>LN00007</x:v>
      </x:c>
      <x:c r="B8" t="n">
        <x:f>'02_Loan_Portfolio'!Q8</x:f>
        <x:v>2</x:v>
      </x:c>
      <x:c r="C8" t="n">
        <x:f>'02_Loan_Portfolio'!N8</x:f>
        <x:v>0.100833</x:v>
      </x:c>
      <x:c r="D8" t="n">
        <x:f>'02_Loan_Portfolio'!R8</x:f>
        <x:v>0.3025</x:v>
      </x:c>
      <x:c r="E8" t="n">
        <x:f>'02_Loan_Portfolio'!O8</x:f>
        <x:v>0.495299</x:v>
      </x:c>
      <x:c r="F8" t="n">
        <x:f>'02_Loan_Portfolio'!P8</x:f>
        <x:v>1732861770269</x:v>
      </x:c>
      <x:c r="G8" t="n">
        <x:f>IF(B8=1,C8,D8)</x:f>
        <x:v>0.3025</x:v>
      </x:c>
      <x:c r="H8" t="n">
        <x:f>G8*E8*F8</x:f>
        <x:v>259631122340.6208</x:v>
      </x:c>
      <x:c r="I8" t="str">
        <x:f>IF(B8=1,"12M ECL","Lifetime ECL")</x:f>
        <x:v>Lifetime ECL</x:v>
      </x:c>
    </x:row>
    <x:row r="9">
      <x:c r="A9" t="str">
        <x:f>'02_Loan_Portfolio'!A9</x:f>
        <x:v>LN00008</x:v>
      </x:c>
      <x:c r="B9" t="n">
        <x:f>'02_Loan_Portfolio'!Q9</x:f>
        <x:v>1</x:v>
      </x:c>
      <x:c r="C9" t="n">
        <x:f>'02_Loan_Portfolio'!N9</x:f>
        <x:v>0.02559</x:v>
      </x:c>
      <x:c r="D9" t="n">
        <x:f>'02_Loan_Portfolio'!R9</x:f>
        <x:v>0.038385</x:v>
      </x:c>
      <x:c r="E9" t="n">
        <x:f>'02_Loan_Portfolio'!O9</x:f>
        <x:v>0.716231</x:v>
      </x:c>
      <x:c r="F9" t="n">
        <x:f>'02_Loan_Portfolio'!P9</x:f>
        <x:v>3088812175919</x:v>
      </x:c>
      <x:c r="G9" t="n">
        <x:f>IF(B9=1,C9,D9)</x:f>
        <x:v>0.02559</x:v>
      </x:c>
      <x:c r="H9" t="n">
        <x:f>G9*E9*F9</x:f>
        <x:v>56612834629.07271</x:v>
      </x:c>
      <x:c r="I9" t="str">
        <x:f>IF(B9=1,"12M ECL","Lifetime ECL")</x:f>
        <x:v>12M ECL</x:v>
      </x:c>
    </x:row>
    <x:row r="10">
      <x:c r="A10" t="str">
        <x:f>'02_Loan_Portfolio'!A10</x:f>
        <x:v>LN00009</x:v>
      </x:c>
      <x:c r="B10" t="n">
        <x:f>'02_Loan_Portfolio'!Q10</x:f>
        <x:v>1</x:v>
      </x:c>
      <x:c r="C10" t="n">
        <x:f>'02_Loan_Portfolio'!N10</x:f>
        <x:v>0.12</x:v>
      </x:c>
      <x:c r="D10" t="n">
        <x:f>'02_Loan_Portfolio'!R10</x:f>
        <x:v>0.18</x:v>
      </x:c>
      <x:c r="E10" t="n">
        <x:f>'02_Loan_Portfolio'!O10</x:f>
        <x:v>0.36349</x:v>
      </x:c>
      <x:c r="F10" t="n">
        <x:f>'02_Loan_Portfolio'!P10</x:f>
        <x:v>4808575189</x:v>
      </x:c>
      <x:c r="G10" t="n">
        <x:f>IF(B10=1,C10,D10)</x:f>
        <x:v>0.12</x:v>
      </x:c>
      <x:c r="H10" t="n">
        <x:f>G10*E10*F10</x:f>
        <x:v>209744279.4539532</x:v>
      </x:c>
      <x:c r="I10" t="str">
        <x:f>IF(B10=1,"12M ECL","Lifetime ECL")</x:f>
        <x:v>12M ECL</x:v>
      </x:c>
    </x:row>
    <x:row r="11">
      <x:c r="A11" t="str">
        <x:f>'02_Loan_Portfolio'!A11</x:f>
        <x:v>LN00010</x:v>
      </x:c>
      <x:c r="B11" t="n">
        <x:f>'02_Loan_Portfolio'!Q11</x:f>
        <x:v>1</x:v>
      </x:c>
      <x:c r="C11" t="n">
        <x:f>'02_Loan_Portfolio'!N11</x:f>
        <x:v>0.005</x:v>
      </x:c>
      <x:c r="D11" t="n">
        <x:f>'02_Loan_Portfolio'!R11</x:f>
        <x:v>0.0075</x:v>
      </x:c>
      <x:c r="E11" t="n">
        <x:f>'02_Loan_Portfolio'!O11</x:f>
        <x:v>0.498968</x:v>
      </x:c>
      <x:c r="F11" t="n">
        <x:f>'02_Loan_Portfolio'!P11</x:f>
        <x:v>3137742698252</x:v>
      </x:c>
      <x:c r="G11" t="n">
        <x:f>IF(B11=1,C11,D11)</x:f>
        <x:v>0.005</x:v>
      </x:c>
      <x:c r="H11" t="n">
        <x:f>G11*E11*F11</x:f>
        <x:v>7828165993.307021</x:v>
      </x:c>
      <x:c r="I11" t="str">
        <x:f>IF(B11=1,"12M ECL","Lifetime ECL")</x:f>
        <x:v>12M ECL</x:v>
      </x:c>
    </x:row>
    <x:row r="12">
      <x:c r="A12" t="str">
        <x:f>'02_Loan_Portfolio'!A12</x:f>
        <x:v>LN00011</x:v>
      </x:c>
      <x:c r="B12" t="n">
        <x:f>'02_Loan_Portfolio'!Q12</x:f>
        <x:v>1</x:v>
      </x:c>
      <x:c r="C12" t="n">
        <x:f>'02_Loan_Portfolio'!N12</x:f>
        <x:v>0.027083</x:v>
      </x:c>
      <x:c r="D12" t="n">
        <x:f>'02_Loan_Portfolio'!R12</x:f>
        <x:v>0.040625</x:v>
      </x:c>
      <x:c r="E12" t="n">
        <x:f>'02_Loan_Portfolio'!O12</x:f>
        <x:v>0.407567</x:v>
      </x:c>
      <x:c r="F12" t="n">
        <x:f>'02_Loan_Portfolio'!P12</x:f>
        <x:v>1891316177979</x:v>
      </x:c>
      <x:c r="G12" t="n">
        <x:f>IF(B12=1,C12,D12)</x:f>
        <x:v>0.027083</x:v>
      </x:c>
      <x:c r="H12" t="n">
        <x:f>G12*E12*F12</x:f>
        <x:v>20876607198.218872</x:v>
      </x:c>
      <x:c r="I12" t="str">
        <x:f>IF(B12=1,"12M ECL","Lifetime ECL")</x:f>
        <x:v>12M ECL</x:v>
      </x:c>
    </x:row>
    <x:row r="13">
      <x:c r="A13" t="str">
        <x:f>'02_Loan_Portfolio'!A13</x:f>
        <x:v>LN00012</x:v>
      </x:c>
      <x:c r="B13" t="n">
        <x:f>'02_Loan_Portfolio'!Q13</x:f>
        <x:v>1</x:v>
      </x:c>
      <x:c r="C13" t="n">
        <x:f>'02_Loan_Portfolio'!N13</x:f>
        <x:v>0.06875</x:v>
      </x:c>
      <x:c r="D13" t="n">
        <x:f>'02_Loan_Portfolio'!R13</x:f>
        <x:v>0.103125</x:v>
      </x:c>
      <x:c r="E13" t="n">
        <x:f>'02_Loan_Portfolio'!O13</x:f>
        <x:v>0.573895</x:v>
      </x:c>
      <x:c r="F13" t="n">
        <x:f>'02_Loan_Portfolio'!P13</x:f>
        <x:v>2262633653422</x:v>
      </x:c>
      <x:c r="G13" t="n">
        <x:f>IF(B13=1,C13,D13)</x:f>
        <x:v>0.06875</x:v>
      </x:c>
      <x:c r="H13" t="n">
        <x:f>G13*E13*F13</x:f>
        <x:v>89272847161.48006</x:v>
      </x:c>
      <x:c r="I13" t="str">
        <x:f>IF(B13=1,"12M ECL","Lifetime ECL")</x:f>
        <x:v>12M ECL</x:v>
      </x:c>
    </x:row>
    <x:row r="14">
      <x:c r="A14" t="str">
        <x:f>'02_Loan_Portfolio'!A14</x:f>
        <x:v>LN00013</x:v>
      </x:c>
      <x:c r="B14" t="n">
        <x:f>'02_Loan_Portfolio'!Q14</x:f>
        <x:v>1</x:v>
      </x:c>
      <x:c r="C14" t="n">
        <x:f>'02_Loan_Portfolio'!N14</x:f>
        <x:v>0.025</x:v>
      </x:c>
      <x:c r="D14" t="n">
        <x:f>'02_Loan_Portfolio'!R14</x:f>
        <x:v>0.0375</x:v>
      </x:c>
      <x:c r="E14" t="n">
        <x:f>'02_Loan_Portfolio'!O14</x:f>
        <x:v>0.462473</x:v>
      </x:c>
      <x:c r="F14" t="n">
        <x:f>'02_Loan_Portfolio'!P14</x:f>
        <x:v>3368693787319</x:v>
      </x:c>
      <x:c r="G14" t="n">
        <x:f>IF(B14=1,C14,D14)</x:f>
        <x:v>0.025</x:v>
      </x:c>
      <x:c r="H14" t="n">
        <x:f>G14*E14*F14</x:f>
        <x:v>38948248047.5695</x:v>
      </x:c>
      <x:c r="I14" t="str">
        <x:f>IF(B14=1,"12M ECL","Lifetime ECL")</x:f>
        <x:v>12M ECL</x:v>
      </x:c>
    </x:row>
    <x:row r="15">
      <x:c r="A15" t="str">
        <x:f>'02_Loan_Portfolio'!A15</x:f>
        <x:v>LN00014</x:v>
      </x:c>
      <x:c r="B15" t="n">
        <x:f>'02_Loan_Portfolio'!Q15</x:f>
        <x:v>2</x:v>
      </x:c>
      <x:c r="C15" t="n">
        <x:f>'02_Loan_Portfolio'!N15</x:f>
        <x:v>0.192707</x:v>
      </x:c>
      <x:c r="D15" t="n">
        <x:f>'02_Loan_Portfolio'!R15</x:f>
        <x:v>0.578121</x:v>
      </x:c>
      <x:c r="E15" t="n">
        <x:f>'02_Loan_Portfolio'!O15</x:f>
        <x:v>0.426439</x:v>
      </x:c>
      <x:c r="F15" t="n">
        <x:f>'02_Loan_Portfolio'!P15</x:f>
        <x:v>406669677423</x:v>
      </x:c>
      <x:c r="G15" t="n">
        <x:f>IF(B15=1,C15,D15)</x:f>
        <x:v>0.578121</x:v>
      </x:c>
      <x:c r="H15" t="n">
        <x:f>G15*E15*F15</x:f>
        <x:v>100257634306.87814</x:v>
      </x:c>
      <x:c r="I15" t="str">
        <x:f>IF(B15=1,"12M ECL","Lifetime ECL")</x:f>
        <x:v>Lifetime ECL</x:v>
      </x:c>
    </x:row>
    <x:row r="16">
      <x:c r="A16" t="str">
        <x:f>'02_Loan_Portfolio'!A16</x:f>
        <x:v>LN00015</x:v>
      </x:c>
      <x:c r="B16" t="n">
        <x:f>'02_Loan_Portfolio'!Q16</x:f>
        <x:v>1</x:v>
      </x:c>
      <x:c r="C16" t="n">
        <x:f>'02_Loan_Portfolio'!N16</x:f>
        <x:v>0.027083</x:v>
      </x:c>
      <x:c r="D16" t="n">
        <x:f>'02_Loan_Portfolio'!R16</x:f>
        <x:v>0.040625</x:v>
      </x:c>
      <x:c r="E16" t="n">
        <x:f>'02_Loan_Portfolio'!O16</x:f>
        <x:v>0.493885</x:v>
      </x:c>
      <x:c r="F16" t="n">
        <x:f>'02_Loan_Portfolio'!P16</x:f>
        <x:v>1677426217304</x:v>
      </x:c>
      <x:c r="G16" t="n">
        <x:f>IF(B16=1,C16,D16)</x:f>
        <x:v>0.027083</x:v>
      </x:c>
      <x:c r="H16" t="n">
        <x:f>G16*E16*F16</x:f>
        <x:v>22437064296.724678</x:v>
      </x:c>
      <x:c r="I16" t="str">
        <x:f>IF(B16=1,"12M ECL","Lifetime ECL")</x:f>
        <x:v>12M ECL</x:v>
      </x:c>
    </x:row>
    <x:row r="17">
      <x:c r="A17" t="str">
        <x:f>'02_Loan_Portfolio'!A17</x:f>
        <x:v>LN00016</x:v>
      </x:c>
      <x:c r="B17" t="n">
        <x:f>'02_Loan_Portfolio'!Q17</x:f>
        <x:v>1</x:v>
      </x:c>
      <x:c r="C17" t="n">
        <x:f>'02_Loan_Portfolio'!N17</x:f>
        <x:v>0.076954</x:v>
      </x:c>
      <x:c r="D17" t="n">
        <x:f>'02_Loan_Portfolio'!R17</x:f>
        <x:v>0.115431</x:v>
      </x:c>
      <x:c r="E17" t="n">
        <x:f>'02_Loan_Portfolio'!O17</x:f>
        <x:v>0.474936</x:v>
      </x:c>
      <x:c r="F17" t="n">
        <x:f>'02_Loan_Portfolio'!P17</x:f>
        <x:v>247812107192</x:v>
      </x:c>
      <x:c r="G17" t="n">
        <x:f>IF(B17=1,C17,D17)</x:f>
        <x:v>0.076954</x:v>
      </x:c>
      <x:c r="H17" t="n">
        <x:f>G17*E17*F17</x:f>
        <x:v>9057092637.499857</x:v>
      </x:c>
      <x:c r="I17" t="str">
        <x:f>IF(B17=1,"12M ECL","Lifetime ECL")</x:f>
        <x:v>12M ECL</x:v>
      </x:c>
    </x:row>
    <x:row r="18">
      <x:c r="A18" t="str">
        <x:f>'02_Loan_Portfolio'!A18</x:f>
        <x:v>LN00017</x:v>
      </x:c>
      <x:c r="B18" t="n">
        <x:f>'02_Loan_Portfolio'!Q18</x:f>
        <x:v>1</x:v>
      </x:c>
      <x:c r="C18" t="n">
        <x:f>'02_Loan_Portfolio'!N18</x:f>
        <x:v>0.012</x:v>
      </x:c>
      <x:c r="D18" t="n">
        <x:f>'02_Loan_Portfolio'!R18</x:f>
        <x:v>0.018</x:v>
      </x:c>
      <x:c r="E18" t="n">
        <x:f>'02_Loan_Portfolio'!O18</x:f>
        <x:v>0.316512</x:v>
      </x:c>
      <x:c r="F18" t="n">
        <x:f>'02_Loan_Portfolio'!P18</x:f>
        <x:v>182284142184</x:v>
      </x:c>
      <x:c r="G18" t="n">
        <x:f>IF(B18=1,C18,D18)</x:f>
        <x:v>0.012</x:v>
      </x:c>
      <x:c r="H18" t="n">
        <x:f>G18*E18*F18</x:f>
        <x:v>692341420.9313066</x:v>
      </x:c>
      <x:c r="I18" t="str">
        <x:f>IF(B18=1,"12M ECL","Lifetime ECL")</x:f>
        <x:v>12M ECL</x:v>
      </x:c>
    </x:row>
    <x:row r="19">
      <x:c r="A19" t="str">
        <x:f>'02_Loan_Portfolio'!A19</x:f>
        <x:v>LN00018</x:v>
      </x:c>
      <x:c r="B19" t="n">
        <x:f>'02_Loan_Portfolio'!Q19</x:f>
        <x:v>2</x:v>
      </x:c>
      <x:c r="C19" t="n">
        <x:f>'02_Loan_Portfolio'!N19</x:f>
        <x:v>0.047725</x:v>
      </x:c>
      <x:c r="D19" t="n">
        <x:f>'02_Loan_Portfolio'!R19</x:f>
        <x:v>0.143176</x:v>
      </x:c>
      <x:c r="E19" t="n">
        <x:f>'02_Loan_Portfolio'!O19</x:f>
        <x:v>0.504041</x:v>
      </x:c>
      <x:c r="F19" t="n">
        <x:f>'02_Loan_Portfolio'!P19</x:f>
        <x:v>2721818308296</x:v>
      </x:c>
      <x:c r="G19" t="n">
        <x:f>IF(B19=1,C19,D19)</x:f>
        <x:v>0.143176</x:v>
      </x:c>
      <x:c r="H19" t="n">
        <x:f>G19*E19*F19</x:f>
        <x:v>196424302948.11084</x:v>
      </x:c>
      <x:c r="I19" t="str">
        <x:f>IF(B19=1,"12M ECL","Lifetime ECL")</x:f>
        <x:v>Lifetime ECL</x:v>
      </x:c>
    </x:row>
    <x:row r="20">
      <x:c r="A20" t="str">
        <x:f>'02_Loan_Portfolio'!A20</x:f>
        <x:v>LN00019</x:v>
      </x:c>
      <x:c r="B20" t="n">
        <x:f>'02_Loan_Portfolio'!Q20</x:f>
        <x:v>1</x:v>
      </x:c>
      <x:c r="C20" t="n">
        <x:f>'02_Loan_Portfolio'!N20</x:f>
        <x:v>0.12</x:v>
      </x:c>
      <x:c r="D20" t="n">
        <x:f>'02_Loan_Portfolio'!R20</x:f>
        <x:v>0.18</x:v>
      </x:c>
      <x:c r="E20" t="n">
        <x:f>'02_Loan_Portfolio'!O20</x:f>
        <x:v>0.771665</x:v>
      </x:c>
      <x:c r="F20" t="n">
        <x:f>'02_Loan_Portfolio'!P20</x:f>
        <x:v>2171052889334</x:v>
      </x:c>
      <x:c r="G20" t="n">
        <x:f>IF(B20=1,C20,D20)</x:f>
        <x:v>0.12</x:v>
      </x:c>
      <x:c r="H20" t="n">
        <x:f>G20*E20*F20</x:f>
        <x:v>201039063341.75052</x:v>
      </x:c>
      <x:c r="I20" t="str">
        <x:f>IF(B20=1,"12M ECL","Lifetime ECL")</x:f>
        <x:v>12M ECL</x:v>
      </x:c>
    </x:row>
    <x:row r="21">
      <x:c r="A21" t="str">
        <x:f>'02_Loan_Portfolio'!A21</x:f>
        <x:v>LN00020</x:v>
      </x:c>
      <x:c r="B21" t="n">
        <x:f>'02_Loan_Portfolio'!Q21</x:f>
        <x:v>1</x:v>
      </x:c>
      <x:c r="C21" t="n">
        <x:f>'02_Loan_Portfolio'!N21</x:f>
        <x:v>0.055</x:v>
      </x:c>
      <x:c r="D21" t="n">
        <x:f>'02_Loan_Portfolio'!R21</x:f>
        <x:v>0.0825</x:v>
      </x:c>
      <x:c r="E21" t="n">
        <x:f>'02_Loan_Portfolio'!O21</x:f>
        <x:v>0.573404</x:v>
      </x:c>
      <x:c r="F21" t="n">
        <x:f>'02_Loan_Portfolio'!P21</x:f>
        <x:v>2254202839577</x:v>
      </x:c>
      <x:c r="G21" t="n">
        <x:f>IF(B21=1,C21,D21)</x:f>
        <x:v>0.055</x:v>
      </x:c>
      <x:c r="H21" t="n">
        <x:f>G21*E21*F21</x:f>
        <x:v>71091290876.36456</x:v>
      </x:c>
      <x:c r="I21" t="str">
        <x:f>IF(B21=1,"12M ECL","Lifetime ECL")</x:f>
        <x:v>12M ECL</x:v>
      </x:c>
    </x:row>
    <x:row r="22">
      <x:c r="A22" t="str">
        <x:f>'02_Loan_Portfolio'!A22</x:f>
        <x:v>LN00021</x:v>
      </x:c>
      <x:c r="B22" t="n">
        <x:f>'02_Loan_Portfolio'!Q22</x:f>
        <x:v>1</x:v>
      </x:c>
      <x:c r="C22" t="n">
        <x:f>'02_Loan_Portfolio'!N22</x:f>
        <x:v>0.057803</x:v>
      </x:c>
      <x:c r="D22" t="n">
        <x:f>'02_Loan_Portfolio'!R22</x:f>
        <x:v>0.086705</x:v>
      </x:c>
      <x:c r="E22" t="n">
        <x:f>'02_Loan_Portfolio'!O22</x:f>
        <x:v>0.498453</x:v>
      </x:c>
      <x:c r="F22" t="n">
        <x:f>'02_Loan_Portfolio'!P22</x:f>
        <x:v>42548054822</x:v>
      </x:c>
      <x:c r="G22" t="n">
        <x:f>IF(B22=1,C22,D22)</x:f>
        <x:v>0.057803</x:v>
      </x:c>
      <x:c r="H22" t="n">
        <x:f>G22*E22*F22</x:f>
        <x:v>1225897906.5737138</x:v>
      </x:c>
      <x:c r="I22" t="str">
        <x:f>IF(B22=1,"12M ECL","Lifetime ECL")</x:f>
        <x:v>12M ECL</x:v>
      </x:c>
    </x:row>
    <x:row r="23">
      <x:c r="A23" t="str">
        <x:f>'02_Loan_Portfolio'!A23</x:f>
        <x:v>LN00022</x:v>
      </x:c>
      <x:c r="B23" t="n">
        <x:f>'02_Loan_Portfolio'!Q23</x:f>
        <x:v>2</x:v>
      </x:c>
      <x:c r="C23" t="n">
        <x:f>'02_Loan_Portfolio'!N23</x:f>
        <x:v>0.030202</x:v>
      </x:c>
      <x:c r="D23" t="n">
        <x:f>'02_Loan_Portfolio'!R23</x:f>
        <x:v>0.090605</x:v>
      </x:c>
      <x:c r="E23" t="n">
        <x:f>'02_Loan_Portfolio'!O23</x:f>
        <x:v>0.612511</x:v>
      </x:c>
      <x:c r="F23" t="n">
        <x:f>'02_Loan_Portfolio'!P23</x:f>
        <x:v>2660236045169</x:v>
      </x:c>
      <x:c r="G23" t="n">
        <x:f>IF(B23=1,C23,D23)</x:f>
        <x:v>0.090605</x:v>
      </x:c>
      <x:c r="H23" t="n">
        <x:f>G23*E23*F23</x:f>
        <x:v>147633947046.98468</x:v>
      </x:c>
      <x:c r="I23" t="str">
        <x:f>IF(B23=1,"12M ECL","Lifetime ECL")</x:f>
        <x:v>Lifetime ECL</x:v>
      </x:c>
    </x:row>
    <x:row r="24">
      <x:c r="A24" t="str">
        <x:f>'02_Loan_Portfolio'!A24</x:f>
        <x:v>LN00023</x:v>
      </x:c>
      <x:c r="B24" t="n">
        <x:f>'02_Loan_Portfolio'!Q24</x:f>
        <x:v>1</x:v>
      </x:c>
      <x:c r="C24" t="n">
        <x:f>'02_Loan_Portfolio'!N24</x:f>
        <x:v>0.015512</x:v>
      </x:c>
      <x:c r="D24" t="n">
        <x:f>'02_Loan_Portfolio'!R24</x:f>
        <x:v>0.023269</x:v>
      </x:c>
      <x:c r="E24" t="n">
        <x:f>'02_Loan_Portfolio'!O24</x:f>
        <x:v>0.568043</x:v>
      </x:c>
      <x:c r="F24" t="n">
        <x:f>'02_Loan_Portfolio'!P24</x:f>
        <x:v>3545501318287</x:v>
      </x:c>
      <x:c r="G24" t="n">
        <x:f>IF(B24=1,C24,D24)</x:f>
        <x:v>0.015512</x:v>
      </x:c>
      <x:c r="H24" t="n">
        <x:f>G24*E24*F24</x:f>
        <x:v>31241124649.29151</x:v>
      </x:c>
      <x:c r="I24" t="str">
        <x:f>IF(B24=1,"12M ECL","Lifetime ECL")</x:f>
        <x:v>12M ECL</x:v>
      </x:c>
    </x:row>
    <x:row r="25">
      <x:c r="A25" t="str">
        <x:f>'02_Loan_Portfolio'!A25</x:f>
        <x:v>LN00024</x:v>
      </x:c>
      <x:c r="B25" t="n">
        <x:f>'02_Loan_Portfolio'!Q25</x:f>
        <x:v>1</x:v>
      </x:c>
      <x:c r="C25" t="n">
        <x:f>'02_Loan_Portfolio'!N25</x:f>
        <x:v>0.130404</x:v>
      </x:c>
      <x:c r="D25" t="n">
        <x:f>'02_Loan_Portfolio'!R25</x:f>
        <x:v>0.195606</x:v>
      </x:c>
      <x:c r="E25" t="n">
        <x:f>'02_Loan_Portfolio'!O25</x:f>
        <x:v>0.64787</x:v>
      </x:c>
      <x:c r="F25" t="n">
        <x:f>'02_Loan_Portfolio'!P25</x:f>
        <x:v>849877033780</x:v>
      </x:c>
      <x:c r="G25" t="n">
        <x:f>IF(B25=1,C25,D25)</x:f>
        <x:v>0.130404</x:v>
      </x:c>
      <x:c r="H25" t="n">
        <x:f>G25*E25*F25</x:f>
        <x:v>71801724776.64183</x:v>
      </x:c>
      <x:c r="I25" t="str">
        <x:f>IF(B25=1,"12M ECL","Lifetime ECL")</x:f>
        <x:v>12M ECL</x:v>
      </x:c>
    </x:row>
    <x:row r="26">
      <x:c r="A26" t="str">
        <x:f>'02_Loan_Portfolio'!A26</x:f>
        <x:v>LN00025</x:v>
      </x:c>
      <x:c r="B26" t="n">
        <x:f>'02_Loan_Portfolio'!Q26</x:f>
        <x:v>1</x:v>
      </x:c>
      <x:c r="C26" t="n">
        <x:f>'02_Loan_Portfolio'!N26</x:f>
        <x:v>0.012</x:v>
      </x:c>
      <x:c r="D26" t="n">
        <x:f>'02_Loan_Portfolio'!R26</x:f>
        <x:v>0.018</x:v>
      </x:c>
      <x:c r="E26" t="n">
        <x:f>'02_Loan_Portfolio'!O26</x:f>
        <x:v>0.443877</x:v>
      </x:c>
      <x:c r="F26" t="n">
        <x:f>'02_Loan_Portfolio'!P26</x:f>
        <x:v>161082968442</x:v>
      </x:c>
      <x:c r="G26" t="n">
        <x:f>IF(B26=1,C26,D26)</x:f>
        <x:v>0.012</x:v>
      </x:c>
      <x:c r="H26" t="n">
        <x:f>G26*E26*F26</x:f>
        <x:v>858012297.3975556</x:v>
      </x:c>
      <x:c r="I26" t="str">
        <x:f>IF(B26=1,"12M ECL","Lifetime ECL")</x:f>
        <x:v>12M ECL</x:v>
      </x:c>
    </x:row>
    <x:row r="27">
      <x:c r="A27" t="str">
        <x:f>'02_Loan_Portfolio'!A27</x:f>
        <x:v>LN00026</x:v>
      </x:c>
      <x:c r="B27" t="n">
        <x:f>'02_Loan_Portfolio'!Q27</x:f>
        <x:v>1</x:v>
      </x:c>
      <x:c r="C27" t="n">
        <x:f>'02_Loan_Portfolio'!N27</x:f>
        <x:v>0.212798</x:v>
      </x:c>
      <x:c r="D27" t="n">
        <x:f>'02_Loan_Portfolio'!R27</x:f>
        <x:v>0.319197</x:v>
      </x:c>
      <x:c r="E27" t="n">
        <x:f>'02_Loan_Portfolio'!O27</x:f>
        <x:v>0.742549</x:v>
      </x:c>
      <x:c r="F27" t="n">
        <x:f>'02_Loan_Portfolio'!P27</x:f>
        <x:v>2845461456258</x:v>
      </x:c>
      <x:c r="G27" t="n">
        <x:f>IF(B27=1,C27,D27)</x:f>
        <x:v>0.212798</x:v>
      </x:c>
      <x:c r="H27" t="n">
        <x:f>G27*E27*F27</x:f>
        <x:v>449619736341.1679</x:v>
      </x:c>
      <x:c r="I27" t="str">
        <x:f>IF(B27=1,"12M ECL","Lifetime ECL")</x:f>
        <x:v>12M ECL</x:v>
      </x:c>
    </x:row>
    <x:row r="28">
      <x:c r="A28" t="str">
        <x:f>'02_Loan_Portfolio'!A28</x:f>
        <x:v>LN00027</x:v>
      </x:c>
      <x:c r="B28" t="n">
        <x:f>'02_Loan_Portfolio'!Q28</x:f>
        <x:v>1</x:v>
      </x:c>
      <x:c r="C28" t="n">
        <x:f>'02_Loan_Portfolio'!N28</x:f>
        <x:v>0.055</x:v>
      </x:c>
      <x:c r="D28" t="n">
        <x:f>'02_Loan_Portfolio'!R28</x:f>
        <x:v>0.0825</x:v>
      </x:c>
      <x:c r="E28" t="n">
        <x:f>'02_Loan_Portfolio'!O28</x:f>
        <x:v>0.401611</x:v>
      </x:c>
      <x:c r="F28" t="n">
        <x:f>'02_Loan_Portfolio'!P28</x:f>
        <x:v>2324055618303</x:v>
      </x:c>
      <x:c r="G28" t="n">
        <x:f>IF(B28=1,C28,D28)</x:f>
        <x:v>0.055</x:v>
      </x:c>
      <x:c r="H28" t="n">
        <x:f>G28*E28*F28</x:f>
        <x:v>51335146550.72574</x:v>
      </x:c>
      <x:c r="I28" t="str">
        <x:f>IF(B28=1,"12M ECL","Lifetime ECL")</x:f>
        <x:v>12M ECL</x:v>
      </x:c>
    </x:row>
    <x:row r="29">
      <x:c r="A29" t="str">
        <x:f>'02_Loan_Portfolio'!A29</x:f>
        <x:v>LN00028</x:v>
      </x:c>
      <x:c r="B29" t="n">
        <x:f>'02_Loan_Portfolio'!Q29</x:f>
        <x:v>1</x:v>
      </x:c>
      <x:c r="C29" t="n">
        <x:f>'02_Loan_Portfolio'!N29</x:f>
        <x:v>0.084582</x:v>
      </x:c>
      <x:c r="D29" t="n">
        <x:f>'02_Loan_Portfolio'!R29</x:f>
        <x:v>0.126874</x:v>
      </x:c>
      <x:c r="E29" t="n">
        <x:f>'02_Loan_Portfolio'!O29</x:f>
        <x:v>0.508184</x:v>
      </x:c>
      <x:c r="F29" t="n">
        <x:f>'02_Loan_Portfolio'!P29</x:f>
        <x:v>2875513052280</x:v>
      </x:c>
      <x:c r="G29" t="n">
        <x:f>IF(B29=1,C29,D29)</x:f>
        <x:v>0.084582</x:v>
      </x:c>
      <x:c r="H29" t="n">
        <x:f>G29*E29*F29</x:f>
        <x:v>123598807516.55484</x:v>
      </x:c>
      <x:c r="I29" t="str">
        <x:f>IF(B29=1,"12M ECL","Lifetime ECL")</x:f>
        <x:v>12M ECL</x:v>
      </x:c>
    </x:row>
    <x:row r="30">
      <x:c r="A30" t="str">
        <x:f>'02_Loan_Portfolio'!A30</x:f>
        <x:v>LN00029</x:v>
      </x:c>
      <x:c r="B30" t="n">
        <x:f>'02_Loan_Portfolio'!Q30</x:f>
        <x:v>1</x:v>
      </x:c>
      <x:c r="C30" t="n">
        <x:f>'02_Loan_Portfolio'!N30</x:f>
        <x:v>0.15</x:v>
      </x:c>
      <x:c r="D30" t="n">
        <x:f>'02_Loan_Portfolio'!R30</x:f>
        <x:v>0.225</x:v>
      </x:c>
      <x:c r="E30" t="n">
        <x:f>'02_Loan_Portfolio'!O30</x:f>
        <x:v>0.74</x:v>
      </x:c>
      <x:c r="F30" t="n">
        <x:f>'02_Loan_Portfolio'!P30</x:f>
        <x:v>838669873687</x:v>
      </x:c>
      <x:c r="G30" t="n">
        <x:f>IF(B30=1,C30,D30)</x:f>
        <x:v>0.15</x:v>
      </x:c>
      <x:c r="H30" t="n">
        <x:f>G30*E30*F30</x:f>
        <x:v>93092355979.257</x:v>
      </x:c>
      <x:c r="I30" t="str">
        <x:f>IF(B30=1,"12M ECL","Lifetime ECL")</x:f>
        <x:v>12M ECL</x:v>
      </x:c>
    </x:row>
    <x:row r="31">
      <x:c r="A31" t="str">
        <x:f>'02_Loan_Portfolio'!A31</x:f>
        <x:v>LN00030</x:v>
      </x:c>
      <x:c r="B31" t="n">
        <x:f>'02_Loan_Portfolio'!Q31</x:f>
        <x:v>2</x:v>
      </x:c>
      <x:c r="C31" t="n">
        <x:f>'02_Loan_Portfolio'!N31</x:f>
        <x:v>0.025</x:v>
      </x:c>
      <x:c r="D31" t="n">
        <x:f>'02_Loan_Portfolio'!R31</x:f>
        <x:v>0.075</x:v>
      </x:c>
      <x:c r="E31" t="n">
        <x:f>'02_Loan_Portfolio'!O31</x:f>
        <x:v>0.517844</x:v>
      </x:c>
      <x:c r="F31" t="n">
        <x:f>'02_Loan_Portfolio'!P31</x:f>
        <x:v>1871736034243</x:v>
      </x:c>
      <x:c r="G31" t="n">
        <x:f>IF(B31=1,C31,D31)</x:f>
        <x:v>0.075</x:v>
      </x:c>
      <x:c r="H31" t="n">
        <x:f>G31*E31*F31</x:f>
        <x:v>72695045618.7399</x:v>
      </x:c>
      <x:c r="I31" t="str">
        <x:f>IF(B31=1,"12M ECL","Lifetime ECL")</x:f>
        <x:v>Lifetime ECL</x:v>
      </x:c>
    </x:row>
    <x:row r="32">
      <x:c r="A32" t="str">
        <x:f>'02_Loan_Portfolio'!A32</x:f>
        <x:v>LN00031</x:v>
      </x:c>
      <x:c r="B32" t="n">
        <x:f>'02_Loan_Portfolio'!Q32</x:f>
        <x:v>1</x:v>
      </x:c>
      <x:c r="C32" t="n">
        <x:f>'02_Loan_Portfolio'!N32</x:f>
        <x:v>0.07844</x:v>
      </x:c>
      <x:c r="D32" t="n">
        <x:f>'02_Loan_Portfolio'!R32</x:f>
        <x:v>0.11766</x:v>
      </x:c>
      <x:c r="E32" t="n">
        <x:f>'02_Loan_Portfolio'!O32</x:f>
        <x:v>0.60499</x:v>
      </x:c>
      <x:c r="F32" t="n">
        <x:f>'02_Loan_Portfolio'!P32</x:f>
        <x:v>2879366641183</x:v>
      </x:c>
      <x:c r="G32" t="n">
        <x:f>IF(B32=1,C32,D32)</x:f>
        <x:v>0.07844</x:v>
      </x:c>
      <x:c r="H32" t="n">
        <x:f>G32*E32*F32</x:f>
        <x:v>136641540622.11534</x:v>
      </x:c>
      <x:c r="I32" t="str">
        <x:f>IF(B32=1,"12M ECL","Lifetime ECL")</x:f>
        <x:v>12M ECL</x:v>
      </x:c>
    </x:row>
    <x:row r="33">
      <x:c r="A33" t="str">
        <x:f>'02_Loan_Portfolio'!A33</x:f>
        <x:v>LN00032</x:v>
      </x:c>
      <x:c r="B33" t="n">
        <x:f>'02_Loan_Portfolio'!Q33</x:f>
        <x:v>1</x:v>
      </x:c>
      <x:c r="C33" t="n">
        <x:f>'02_Loan_Portfolio'!N33</x:f>
        <x:v>0.138531</x:v>
      </x:c>
      <x:c r="D33" t="n">
        <x:f>'02_Loan_Portfolio'!R33</x:f>
        <x:v>0.207797</x:v>
      </x:c>
      <x:c r="E33" t="n">
        <x:f>'02_Loan_Portfolio'!O33</x:f>
        <x:v>0.664623</x:v>
      </x:c>
      <x:c r="F33" t="n">
        <x:f>'02_Loan_Portfolio'!P33</x:f>
        <x:v>1828146447663</x:v>
      </x:c>
      <x:c r="G33" t="n">
        <x:f>IF(B33=1,C33,D33)</x:f>
        <x:v>0.138531</x:v>
      </x:c>
      <x:c r="H33" t="n">
        <x:f>G33*E33*F33</x:f>
        <x:v>168319068316.66098</x:v>
      </x:c>
      <x:c r="I33" t="str">
        <x:f>IF(B33=1,"12M ECL","Lifetime ECL")</x:f>
        <x:v>12M ECL</x:v>
      </x:c>
    </x:row>
    <x:row r="34">
      <x:c r="A34" t="str">
        <x:f>'02_Loan_Portfolio'!A34</x:f>
        <x:v>LN00033</x:v>
      </x:c>
      <x:c r="B34" t="n">
        <x:f>'02_Loan_Portfolio'!Q34</x:f>
        <x:v>1</x:v>
      </x:c>
      <x:c r="C34" t="n">
        <x:f>'02_Loan_Portfolio'!N34</x:f>
        <x:v>0.025</x:v>
      </x:c>
      <x:c r="D34" t="n">
        <x:f>'02_Loan_Portfolio'!R34</x:f>
        <x:v>0.0375</x:v>
      </x:c>
      <x:c r="E34" t="n">
        <x:f>'02_Loan_Portfolio'!O34</x:f>
        <x:v>0.414387</x:v>
      </x:c>
      <x:c r="F34" t="n">
        <x:f>'02_Loan_Portfolio'!P34</x:f>
        <x:v>266568158858</x:v>
      </x:c>
      <x:c r="G34" t="n">
        <x:f>IF(B34=1,C34,D34)</x:f>
        <x:v>0.025</x:v>
      </x:c>
      <x:c r="H34" t="n">
        <x:f>G34*E34*F34</x:f>
        <x:v>2761559491.1172514</x:v>
      </x:c>
      <x:c r="I34" t="str">
        <x:f>IF(B34=1,"12M ECL","Lifetime ECL")</x:f>
        <x:v>12M ECL</x:v>
      </x:c>
    </x:row>
    <x:row r="35">
      <x:c r="A35" t="str">
        <x:f>'02_Loan_Portfolio'!A35</x:f>
        <x:v>LN00034</x:v>
      </x:c>
      <x:c r="B35" t="n">
        <x:f>'02_Loan_Portfolio'!Q35</x:f>
        <x:v>1</x:v>
      </x:c>
      <x:c r="C35" t="n">
        <x:f>'02_Loan_Portfolio'!N35</x:f>
        <x:v>0.12</x:v>
      </x:c>
      <x:c r="D35" t="n">
        <x:f>'02_Loan_Portfolio'!R35</x:f>
        <x:v>0.18</x:v>
      </x:c>
      <x:c r="E35" t="n">
        <x:f>'02_Loan_Portfolio'!O35</x:f>
        <x:v>0.654087</x:v>
      </x:c>
      <x:c r="F35" t="n">
        <x:f>'02_Loan_Portfolio'!P35</x:f>
        <x:v>2560218893981</x:v>
      </x:c>
      <x:c r="G35" t="n">
        <x:f>IF(B35=1,C35,D35)</x:f>
        <x:v>0.12</x:v>
      </x:c>
      <x:c r="H35" t="n">
        <x:f>G35*E35*F35</x:f>
        <x:v>200952707484.88202</x:v>
      </x:c>
      <x:c r="I35" t="str">
        <x:f>IF(B35=1,"12M ECL","Lifetime ECL")</x:f>
        <x:v>12M ECL</x:v>
      </x:c>
    </x:row>
    <x:row r="36">
      <x:c r="A36" t="str">
        <x:f>'02_Loan_Portfolio'!A36</x:f>
        <x:v>LN00035</x:v>
      </x:c>
      <x:c r="B36" t="n">
        <x:f>'02_Loan_Portfolio'!Q36</x:f>
        <x:v>1</x:v>
      </x:c>
      <x:c r="C36" t="n">
        <x:f>'02_Loan_Portfolio'!N36</x:f>
        <x:v>0.02944</x:v>
      </x:c>
      <x:c r="D36" t="n">
        <x:f>'02_Loan_Portfolio'!R36</x:f>
        <x:v>0.04416</x:v>
      </x:c>
      <x:c r="E36" t="n">
        <x:f>'02_Loan_Portfolio'!O36</x:f>
        <x:v>0.310993</x:v>
      </x:c>
      <x:c r="F36" t="n">
        <x:f>'02_Loan_Portfolio'!P36</x:f>
        <x:v>146281911005</x:v>
      </x:c>
      <x:c r="G36" t="n">
        <x:f>IF(B36=1,C36,D36)</x:f>
        <x:v>0.02944</x:v>
      </x:c>
      <x:c r="H36" t="n">
        <x:f>G36*E36*F36</x:f>
        <x:v>1339303626.2797995</x:v>
      </x:c>
      <x:c r="I36" t="str">
        <x:f>IF(B36=1,"12M ECL","Lifetime ECL")</x:f>
        <x:v>12M ECL</x:v>
      </x:c>
    </x:row>
    <x:row r="37">
      <x:c r="A37" t="str">
        <x:f>'02_Loan_Portfolio'!A37</x:f>
        <x:v>LN00036</x:v>
      </x:c>
      <x:c r="B37" t="n">
        <x:f>'02_Loan_Portfolio'!Q37</x:f>
        <x:v>1</x:v>
      </x:c>
      <x:c r="C37" t="n">
        <x:f>'02_Loan_Portfolio'!N37</x:f>
        <x:v>0.157768</x:v>
      </x:c>
      <x:c r="D37" t="n">
        <x:f>'02_Loan_Portfolio'!R37</x:f>
        <x:v>0.236653</x:v>
      </x:c>
      <x:c r="E37" t="n">
        <x:f>'02_Loan_Portfolio'!O37</x:f>
        <x:v>0.514588</x:v>
      </x:c>
      <x:c r="F37" t="n">
        <x:f>'02_Loan_Portfolio'!P37</x:f>
        <x:v>1326644818965</x:v>
      </x:c>
      <x:c r="G37" t="n">
        <x:f>IF(B37=1,C37,D37)</x:f>
        <x:v>0.157768</x:v>
      </x:c>
      <x:c r="H37" t="n">
        <x:f>G37*E37*F37</x:f>
        <x:v>107704348931.09514</x:v>
      </x:c>
      <x:c r="I37" t="str">
        <x:f>IF(B37=1,"12M ECL","Lifetime ECL")</x:f>
        <x:v>12M ECL</x:v>
      </x:c>
    </x:row>
    <x:row r="38">
      <x:c r="A38" t="str">
        <x:f>'02_Loan_Portfolio'!A38</x:f>
        <x:v>LN00037</x:v>
      </x:c>
      <x:c r="B38" t="n">
        <x:f>'02_Loan_Portfolio'!Q38</x:f>
        <x:v>1</x:v>
      </x:c>
      <x:c r="C38" t="n">
        <x:f>'02_Loan_Portfolio'!N38</x:f>
        <x:v>0.005</x:v>
      </x:c>
      <x:c r="D38" t="n">
        <x:f>'02_Loan_Portfolio'!R38</x:f>
        <x:v>0.0075</x:v>
      </x:c>
      <x:c r="E38" t="n">
        <x:f>'02_Loan_Portfolio'!O38</x:f>
        <x:v>0.550583</x:v>
      </x:c>
      <x:c r="F38" t="n">
        <x:f>'02_Loan_Portfolio'!P38</x:f>
        <x:v>2615833781426</x:v>
      </x:c>
      <x:c r="G38" t="n">
        <x:f>IF(B38=1,C38,D38)</x:f>
        <x:v>0.005</x:v>
      </x:c>
      <x:c r="H38" t="n">
        <x:f>G38*E38*F38</x:f>
        <x:v>7201168054.394358</x:v>
      </x:c>
      <x:c r="I38" t="str">
        <x:f>IF(B38=1,"12M ECL","Lifetime ECL")</x:f>
        <x:v>12M ECL</x:v>
      </x:c>
    </x:row>
    <x:row r="39">
      <x:c r="A39" t="str">
        <x:f>'02_Loan_Portfolio'!A39</x:f>
        <x:v>LN00038</x:v>
      </x:c>
      <x:c r="B39" t="n">
        <x:f>'02_Loan_Portfolio'!Q39</x:f>
        <x:v>1</x:v>
      </x:c>
      <x:c r="C39" t="n">
        <x:f>'02_Loan_Portfolio'!N39</x:f>
        <x:v>0.15</x:v>
      </x:c>
      <x:c r="D39" t="n">
        <x:f>'02_Loan_Portfolio'!R39</x:f>
        <x:v>0.225</x:v>
      </x:c>
      <x:c r="E39" t="n">
        <x:f>'02_Loan_Portfolio'!O39</x:f>
        <x:v>0.364008</x:v>
      </x:c>
      <x:c r="F39" t="n">
        <x:f>'02_Loan_Portfolio'!P39</x:f>
        <x:v>1411559922814</x:v>
      </x:c>
      <x:c r="G39" t="n">
        <x:f>IF(B39=1,C39,D39)</x:f>
        <x:v>0.15</x:v>
      </x:c>
      <x:c r="H39" t="n">
        <x:f>G39*E39*F39</x:f>
        <x:v>77072865657.55177</x:v>
      </x:c>
      <x:c r="I39" t="str">
        <x:f>IF(B39=1,"12M ECL","Lifetime ECL")</x:f>
        <x:v>12M ECL</x:v>
      </x:c>
    </x:row>
    <x:row r="40">
      <x:c r="A40" t="str">
        <x:f>'02_Loan_Portfolio'!A40</x:f>
        <x:v>LN00039</x:v>
      </x:c>
      <x:c r="B40" t="n">
        <x:f>'02_Loan_Portfolio'!Q40</x:f>
        <x:v>2</x:v>
      </x:c>
      <x:c r="C40" t="n">
        <x:f>'02_Loan_Portfolio'!N40</x:f>
        <x:v>0.0825</x:v>
      </x:c>
      <x:c r="D40" t="n">
        <x:f>'02_Loan_Portfolio'!R40</x:f>
        <x:v>0.2475</x:v>
      </x:c>
      <x:c r="E40" t="n">
        <x:f>'02_Loan_Portfolio'!O40</x:f>
        <x:v>0.33685</x:v>
      </x:c>
      <x:c r="F40" t="n">
        <x:f>'02_Loan_Portfolio'!P40</x:f>
        <x:v>189920816034</x:v>
      </x:c>
      <x:c r="G40" t="n">
        <x:f>IF(B40=1,C40,D40)</x:f>
        <x:v>0.2475</x:v>
      </x:c>
      <x:c r="H40" t="n">
        <x:f>G40*E40*F40</x:f>
        <x:v>15833769653.060593</x:v>
      </x:c>
      <x:c r="I40" t="str">
        <x:f>IF(B40=1,"12M ECL","Lifetime ECL")</x:f>
        <x:v>Lifetime ECL</x:v>
      </x:c>
    </x:row>
    <x:row r="41">
      <x:c r="A41" t="str">
        <x:f>'02_Loan_Portfolio'!A41</x:f>
        <x:v>LN00040</x:v>
      </x:c>
      <x:c r="B41" t="n">
        <x:f>'02_Loan_Portfolio'!Q41</x:f>
        <x:v>1</x:v>
      </x:c>
      <x:c r="C41" t="n">
        <x:f>'02_Loan_Portfolio'!N41</x:f>
        <x:v>0.012</x:v>
      </x:c>
      <x:c r="D41" t="n">
        <x:f>'02_Loan_Portfolio'!R41</x:f>
        <x:v>0.018</x:v>
      </x:c>
      <x:c r="E41" t="n">
        <x:f>'02_Loan_Portfolio'!O41</x:f>
        <x:v>0.642022</x:v>
      </x:c>
      <x:c r="F41" t="n">
        <x:f>'02_Loan_Portfolio'!P41</x:f>
        <x:v>1338320424798</x:v>
      </x:c>
      <x:c r="G41" t="n">
        <x:f>IF(B41=1,C41,D41)</x:f>
        <x:v>0.012</x:v>
      </x:c>
      <x:c r="H41" t="n">
        <x:f>G41*E41*F41</x:f>
        <x:v>10310773869.235939</x:v>
      </x:c>
      <x:c r="I41" t="str">
        <x:f>IF(B41=1,"12M ECL","Lifetime ECL")</x:f>
        <x:v>12M ECL</x:v>
      </x:c>
    </x:row>
    <x:row r="42">
      <x:c r="A42" t="str">
        <x:f>'02_Loan_Portfolio'!A42</x:f>
        <x:v>LN00041</x:v>
      </x:c>
      <x:c r="B42" t="n">
        <x:f>'02_Loan_Portfolio'!Q42</x:f>
        <x:v>1</x:v>
      </x:c>
      <x:c r="C42" t="n">
        <x:f>'02_Loan_Portfolio'!N42</x:f>
        <x:v>0.12</x:v>
      </x:c>
      <x:c r="D42" t="n">
        <x:f>'02_Loan_Portfolio'!R42</x:f>
        <x:v>0.18</x:v>
      </x:c>
      <x:c r="E42" t="n">
        <x:f>'02_Loan_Portfolio'!O42</x:f>
        <x:v>0.355274</x:v>
      </x:c>
      <x:c r="F42" t="n">
        <x:f>'02_Loan_Portfolio'!P42</x:f>
        <x:v>3065009535546</x:v>
      </x:c>
      <x:c r="G42" t="n">
        <x:f>IF(B42=1,C42,D42)</x:f>
        <x:v>0.12</x:v>
      </x:c>
      <x:c r="H42" t="n">
        <x:f>G42*E42*F42</x:f>
        <x:v>130670183727.78835</x:v>
      </x:c>
      <x:c r="I42" t="str">
        <x:f>IF(B42=1,"12M ECL","Lifetime ECL")</x:f>
        <x:v>12M ECL</x:v>
      </x:c>
    </x:row>
    <x:row r="43">
      <x:c r="A43" t="str">
        <x:f>'02_Loan_Portfolio'!A43</x:f>
        <x:v>LN00042</x:v>
      </x:c>
      <x:c r="B43" t="n">
        <x:f>'02_Loan_Portfolio'!Q43</x:f>
        <x:v>1</x:v>
      </x:c>
      <x:c r="C43" t="n">
        <x:f>'02_Loan_Portfolio'!N43</x:f>
        <x:v>0.06875</x:v>
      </x:c>
      <x:c r="D43" t="n">
        <x:f>'02_Loan_Portfolio'!R43</x:f>
        <x:v>0.103125</x:v>
      </x:c>
      <x:c r="E43" t="n">
        <x:f>'02_Loan_Portfolio'!O43</x:f>
        <x:v>0.7903</x:v>
      </x:c>
      <x:c r="F43" t="n">
        <x:f>'02_Loan_Portfolio'!P43</x:f>
        <x:v>1812514724712</x:v>
      </x:c>
      <x:c r="G43" t="n">
        <x:f>IF(B43=1,C43,D43)</x:f>
        <x:v>0.06875</x:v>
      </x:c>
      <x:c r="H43" t="n">
        <x:f>G43*E43*F43</x:f>
        <x:v>98479589102.11769</x:v>
      </x:c>
      <x:c r="I43" t="str">
        <x:f>IF(B43=1,"12M ECL","Lifetime ECL")</x:f>
        <x:v>12M ECL</x:v>
      </x:c>
    </x:row>
    <x:row r="44">
      <x:c r="A44" t="str">
        <x:f>'02_Loan_Portfolio'!A44</x:f>
        <x:v>LN00043</x:v>
      </x:c>
      <x:c r="B44" t="n">
        <x:f>'02_Loan_Portfolio'!Q44</x:f>
        <x:v>1</x:v>
      </x:c>
      <x:c r="C44" t="n">
        <x:f>'02_Loan_Portfolio'!N44</x:f>
        <x:v>0.055</x:v>
      </x:c>
      <x:c r="D44" t="n">
        <x:f>'02_Loan_Portfolio'!R44</x:f>
        <x:v>0.0825</x:v>
      </x:c>
      <x:c r="E44" t="n">
        <x:f>'02_Loan_Portfolio'!O44</x:f>
        <x:v>0.395898</x:v>
      </x:c>
      <x:c r="F44" t="n">
        <x:f>'02_Loan_Portfolio'!P44</x:f>
        <x:v>1517992867664</x:v>
      </x:c>
      <x:c r="G44" t="n">
        <x:f>IF(B44=1,C44,D44)</x:f>
        <x:v>0.055</x:v>
      </x:c>
      <x:c r="H44" t="n">
        <x:f>G44*E44*F44</x:f>
        <x:v>33053368717.734325</x:v>
      </x:c>
      <x:c r="I44" t="str">
        <x:f>IF(B44=1,"12M ECL","Lifetime ECL")</x:f>
        <x:v>12M ECL</x:v>
      </x:c>
    </x:row>
    <x:row r="45">
      <x:c r="A45" t="str">
        <x:f>'02_Loan_Portfolio'!A45</x:f>
        <x:v>LN00044</x:v>
      </x:c>
      <x:c r="B45" t="n">
        <x:f>'02_Loan_Portfolio'!Q45</x:f>
        <x:v>1</x:v>
      </x:c>
      <x:c r="C45" t="n">
        <x:f>'02_Loan_Portfolio'!N45</x:f>
        <x:v>0.015</x:v>
      </x:c>
      <x:c r="D45" t="n">
        <x:f>'02_Loan_Portfolio'!R45</x:f>
        <x:v>0.0225</x:v>
      </x:c>
      <x:c r="E45" t="n">
        <x:f>'02_Loan_Portfolio'!O45</x:f>
        <x:v>0.432996</x:v>
      </x:c>
      <x:c r="F45" t="n">
        <x:f>'02_Loan_Portfolio'!P45</x:f>
        <x:v>2380958016578</x:v>
      </x:c>
      <x:c r="G45" t="n">
        <x:f>IF(B45=1,C45,D45)</x:f>
        <x:v>0.015</x:v>
      </x:c>
      <x:c r="H45" t="n">
        <x:f>G45*E45*F45</x:f>
        <x:v>15464179460.193113</x:v>
      </x:c>
      <x:c r="I45" t="str">
        <x:f>IF(B45=1,"12M ECL","Lifetime ECL")</x:f>
        <x:v>12M ECL</x:v>
      </x:c>
    </x:row>
    <x:row r="46">
      <x:c r="A46" t="str">
        <x:f>'02_Loan_Portfolio'!A46</x:f>
        <x:v>LN00045</x:v>
      </x:c>
      <x:c r="B46" t="n">
        <x:f>'02_Loan_Portfolio'!Q46</x:f>
        <x:v>1</x:v>
      </x:c>
      <x:c r="C46" t="n">
        <x:f>'02_Loan_Portfolio'!N46</x:f>
        <x:v>0.06875</x:v>
      </x:c>
      <x:c r="D46" t="n">
        <x:f>'02_Loan_Portfolio'!R46</x:f>
        <x:v>0.103125</x:v>
      </x:c>
      <x:c r="E46" t="n">
        <x:f>'02_Loan_Portfolio'!O46</x:f>
        <x:v>0.477073</x:v>
      </x:c>
      <x:c r="F46" t="n">
        <x:f>'02_Loan_Portfolio'!P46</x:f>
        <x:v>488291791070</x:v>
      </x:c>
      <x:c r="G46" t="n">
        <x:f>IF(B46=1,C46,D46)</x:f>
        <x:v>0.06875</x:v>
      </x:c>
      <x:c r="H46" t="n">
        <x:f>G46*E46*F46</x:f>
        <x:v>16015369537.828247</x:v>
      </x:c>
      <x:c r="I46" t="str">
        <x:f>IF(B46=1,"12M ECL","Lifetime ECL")</x:f>
        <x:v>12M ECL</x:v>
      </x:c>
    </x:row>
    <x:row r="47">
      <x:c r="A47" t="str">
        <x:f>'02_Loan_Portfolio'!A47</x:f>
        <x:v>LN00046</x:v>
      </x:c>
      <x:c r="B47" t="n">
        <x:f>'02_Loan_Portfolio'!Q47</x:f>
        <x:v>1</x:v>
      </x:c>
      <x:c r="C47" t="n">
        <x:f>'02_Loan_Portfolio'!N47</x:f>
        <x:v>0.081878</x:v>
      </x:c>
      <x:c r="D47" t="n">
        <x:f>'02_Loan_Portfolio'!R47</x:f>
        <x:v>0.122817</x:v>
      </x:c>
      <x:c r="E47" t="n">
        <x:f>'02_Loan_Portfolio'!O47</x:f>
        <x:v>0.450342</x:v>
      </x:c>
      <x:c r="F47" t="n">
        <x:f>'02_Loan_Portfolio'!P47</x:f>
        <x:v>1265104374134</x:v>
      </x:c>
      <x:c r="G47" t="n">
        <x:f>IF(B47=1,C47,D47)</x:f>
        <x:v>0.081878</x:v>
      </x:c>
      <x:c r="H47" t="n">
        <x:f>G47*E47*F47</x:f>
        <x:v>46648322977.25796</x:v>
      </x:c>
      <x:c r="I47" t="str">
        <x:f>IF(B47=1,"12M ECL","Lifetime ECL")</x:f>
        <x:v>12M ECL</x:v>
      </x:c>
    </x:row>
    <x:row r="48">
      <x:c r="A48" t="str">
        <x:f>'02_Loan_Portfolio'!A48</x:f>
        <x:v>LN00047</x:v>
      </x:c>
      <x:c r="B48" t="n">
        <x:f>'02_Loan_Portfolio'!Q48</x:f>
        <x:v>1</x:v>
      </x:c>
      <x:c r="C48" t="n">
        <x:f>'02_Loan_Portfolio'!N48</x:f>
        <x:v>0.196892</x:v>
      </x:c>
      <x:c r="D48" t="n">
        <x:f>'02_Loan_Portfolio'!R48</x:f>
        <x:v>0.295337</x:v>
      </x:c>
      <x:c r="E48" t="n">
        <x:f>'02_Loan_Portfolio'!O48</x:f>
        <x:v>0.386921</x:v>
      </x:c>
      <x:c r="F48" t="n">
        <x:f>'02_Loan_Portfolio'!P48</x:f>
        <x:v>275213923922</x:v>
      </x:c>
      <x:c r="G48" t="n">
        <x:f>IF(B48=1,C48,D48)</x:f>
        <x:v>0.196892</x:v>
      </x:c>
      <x:c r="H48" t="n">
        <x:f>G48*E48*F48</x:f>
        <x:v>20966250698.552315</x:v>
      </x:c>
      <x:c r="I48" t="str">
        <x:f>IF(B48=1,"12M ECL","Lifetime ECL")</x:f>
        <x:v>12M ECL</x:v>
      </x:c>
    </x:row>
    <x:row r="49">
      <x:c r="A49" t="str">
        <x:f>'02_Loan_Portfolio'!A49</x:f>
        <x:v>LN00048</x:v>
      </x:c>
      <x:c r="B49" t="n">
        <x:f>'02_Loan_Portfolio'!Q49</x:f>
        <x:v>1</x:v>
      </x:c>
      <x:c r="C49" t="n">
        <x:f>'02_Loan_Portfolio'!N49</x:f>
        <x:v>0.06875</x:v>
      </x:c>
      <x:c r="D49" t="n">
        <x:f>'02_Loan_Portfolio'!R49</x:f>
        <x:v>0.103125</x:v>
      </x:c>
      <x:c r="E49" t="n">
        <x:f>'02_Loan_Portfolio'!O49</x:f>
        <x:v>0.512892</x:v>
      </x:c>
      <x:c r="F49" t="n">
        <x:f>'02_Loan_Portfolio'!P49</x:f>
        <x:v>3044426322842</x:v>
      </x:c>
      <x:c r="G49" t="n">
        <x:f>IF(B49=1,C49,D49)</x:f>
        <x:v>0.06875</x:v>
      </x:c>
      <x:c r="H49" t="n">
        <x:f>G49*E49*F49</x:f>
        <x:v>107350506008.2867</x:v>
      </x:c>
      <x:c r="I49" t="str">
        <x:f>IF(B49=1,"12M ECL","Lifetime ECL")</x:f>
        <x:v>12M ECL</x:v>
      </x:c>
    </x:row>
    <x:row r="50">
      <x:c r="A50" t="str">
        <x:f>'02_Loan_Portfolio'!A50</x:f>
        <x:v>LN00049</x:v>
      </x:c>
      <x:c r="B50" t="n">
        <x:f>'02_Loan_Portfolio'!Q50</x:f>
        <x:v>1</x:v>
      </x:c>
      <x:c r="C50" t="n">
        <x:f>'02_Loan_Portfolio'!N50</x:f>
        <x:v>0.013271</x:v>
      </x:c>
      <x:c r="D50" t="n">
        <x:f>'02_Loan_Portfolio'!R50</x:f>
        <x:v>0.019906</x:v>
      </x:c>
      <x:c r="E50" t="n">
        <x:f>'02_Loan_Portfolio'!O50</x:f>
        <x:v>0.577753</x:v>
      </x:c>
      <x:c r="F50" t="n">
        <x:f>'02_Loan_Portfolio'!P50</x:f>
        <x:v>591506602050</x:v>
      </x:c>
      <x:c r="G50" t="n">
        <x:f>IF(B50=1,C50,D50)</x:f>
        <x:v>0.013271</x:v>
      </x:c>
      <x:c r="H50" t="n">
        <x:f>G50*E50*F50</x:f>
        <x:v>4535294097.559004</x:v>
      </x:c>
      <x:c r="I50" t="str">
        <x:f>IF(B50=1,"12M ECL","Lifetime ECL")</x:f>
        <x:v>12M ECL</x:v>
      </x:c>
    </x:row>
    <x:row r="51">
      <x:c r="A51" t="str">
        <x:f>'02_Loan_Portfolio'!A51</x:f>
        <x:v>LN00050</x:v>
      </x:c>
      <x:c r="B51" t="n">
        <x:f>'02_Loan_Portfolio'!Q51</x:f>
        <x:v>1</x:v>
      </x:c>
      <x:c r="C51" t="n">
        <x:f>'02_Loan_Portfolio'!N51</x:f>
        <x:v>0.02609</x:v>
      </x:c>
      <x:c r="D51" t="n">
        <x:f>'02_Loan_Portfolio'!R51</x:f>
        <x:v>0.039135</x:v>
      </x:c>
      <x:c r="E51" t="n">
        <x:f>'02_Loan_Portfolio'!O51</x:f>
        <x:v>0.582518</x:v>
      </x:c>
      <x:c r="F51" t="n">
        <x:f>'02_Loan_Portfolio'!P51</x:f>
        <x:v>1465659697999</x:v>
      </x:c>
      <x:c r="G51" t="n">
        <x:f>IF(B51=1,C51,D51)</x:f>
        <x:v>0.02609</x:v>
      </x:c>
      <x:c r="H51" t="n">
        <x:f>G51*E51*F51</x:f>
        <x:v>22274941638.969826</x:v>
      </x:c>
      <x:c r="I51" t="str">
        <x:f>IF(B51=1,"12M ECL","Lifetime ECL")</x:f>
        <x:v>12M ECL</x:v>
      </x:c>
    </x:row>
    <x:row r="52">
      <x:c r="A52" t="str">
        <x:f>'02_Loan_Portfolio'!A52</x:f>
        <x:v>LN00051</x:v>
      </x:c>
      <x:c r="B52" t="n">
        <x:f>'02_Loan_Portfolio'!Q52</x:f>
        <x:v>1</x:v>
      </x:c>
      <x:c r="C52" t="n">
        <x:f>'02_Loan_Portfolio'!N52</x:f>
        <x:v>0.005</x:v>
      </x:c>
      <x:c r="D52" t="n">
        <x:f>'02_Loan_Portfolio'!R52</x:f>
        <x:v>0.0075</x:v>
      </x:c>
      <x:c r="E52" t="n">
        <x:f>'02_Loan_Portfolio'!O52</x:f>
        <x:v>0.786258</x:v>
      </x:c>
      <x:c r="F52" t="n">
        <x:f>'02_Loan_Portfolio'!P52</x:f>
        <x:v>2111951193612</x:v>
      </x:c>
      <x:c r="G52" t="n">
        <x:f>IF(B52=1,C52,D52)</x:f>
        <x:v>0.005</x:v>
      </x:c>
      <x:c r="H52" t="n">
        <x:f>G52*E52*F52</x:f>
        <x:v>8302692607.93492</x:v>
      </x:c>
      <x:c r="I52" t="str">
        <x:f>IF(B52=1,"12M ECL","Lifetime ECL")</x:f>
        <x:v>12M ECL</x:v>
      </x:c>
    </x:row>
    <x:row r="53">
      <x:c r="A53" t="str">
        <x:f>'02_Loan_Portfolio'!A53</x:f>
        <x:v>LN00052</x:v>
      </x:c>
      <x:c r="B53" t="n">
        <x:f>'02_Loan_Portfolio'!Q53</x:f>
        <x:v>2</x:v>
      </x:c>
      <x:c r="C53" t="n">
        <x:f>'02_Loan_Portfolio'!N53</x:f>
        <x:v>0.105857</x:v>
      </x:c>
      <x:c r="D53" t="n">
        <x:f>'02_Loan_Portfolio'!R53</x:f>
        <x:v>0.317571</x:v>
      </x:c>
      <x:c r="E53" t="n">
        <x:f>'02_Loan_Portfolio'!O53</x:f>
        <x:v>0.582614</x:v>
      </x:c>
      <x:c r="F53" t="n">
        <x:f>'02_Loan_Portfolio'!P53</x:f>
        <x:v>2269895365194</x:v>
      </x:c>
      <x:c r="G53" t="n">
        <x:f>IF(B53=1,C53,D53)</x:f>
        <x:v>0.317571</x:v>
      </x:c>
      <x:c r="H53" t="n">
        <x:f>G53*E53*F53</x:f>
        <x:v>419979015379.44006</x:v>
      </x:c>
      <x:c r="I53" t="str">
        <x:f>IF(B53=1,"12M ECL","Lifetime ECL")</x:f>
        <x:v>Lifetime ECL</x:v>
      </x:c>
    </x:row>
    <x:row r="54">
      <x:c r="A54" t="str">
        <x:f>'02_Loan_Portfolio'!A54</x:f>
        <x:v>LN00053</x:v>
      </x:c>
      <x:c r="B54" t="n">
        <x:f>'02_Loan_Portfolio'!Q54</x:f>
        <x:v>2</x:v>
      </x:c>
      <x:c r="C54" t="n">
        <x:f>'02_Loan_Portfolio'!N54</x:f>
        <x:v>0.04375</x:v>
      </x:c>
      <x:c r="D54" t="n">
        <x:f>'02_Loan_Portfolio'!R54</x:f>
        <x:v>0.13125</x:v>
      </x:c>
      <x:c r="E54" t="n">
        <x:f>'02_Loan_Portfolio'!O54</x:f>
        <x:v>0.400463</x:v>
      </x:c>
      <x:c r="F54" t="n">
        <x:f>'02_Loan_Portfolio'!P54</x:f>
        <x:v>2272987810836</x:v>
      </x:c>
      <x:c r="G54" t="n">
        <x:f>IF(B54=1,C54,D54)</x:f>
        <x:v>0.13125</x:v>
      </x:c>
      <x:c r="H54" t="n">
        <x:f>G54*E54*F54</x:f>
        <x:v>119469986696.91975</x:v>
      </x:c>
      <x:c r="I54" t="str">
        <x:f>IF(B54=1,"12M ECL","Lifetime ECL")</x:f>
        <x:v>Lifetime ECL</x:v>
      </x:c>
    </x:row>
    <x:row r="55">
      <x:c r="A55" t="str">
        <x:f>'02_Loan_Portfolio'!A55</x:f>
        <x:v>LN00054</x:v>
      </x:c>
      <x:c r="B55" t="n">
        <x:f>'02_Loan_Portfolio'!Q55</x:f>
        <x:v>2</x:v>
      </x:c>
      <x:c r="C55" t="n">
        <x:f>'02_Loan_Portfolio'!N55</x:f>
        <x:v>0.018</x:v>
      </x:c>
      <x:c r="D55" t="n">
        <x:f>'02_Loan_Portfolio'!R55</x:f>
        <x:v>0.054</x:v>
      </x:c>
      <x:c r="E55" t="n">
        <x:f>'02_Loan_Portfolio'!O55</x:f>
        <x:v>0.58858</x:v>
      </x:c>
      <x:c r="F55" t="n">
        <x:f>'02_Loan_Portfolio'!P55</x:f>
        <x:v>398490863462</x:v>
      </x:c>
      <x:c r="G55" t="n">
        <x:f>IF(B55=1,C55,D55)</x:f>
        <x:v>0.054</x:v>
      </x:c>
      <x:c r="H55" t="n">
        <x:f>G55*E55*F55</x:f>
        <x:v>12665362630.489052</x:v>
      </x:c>
      <x:c r="I55" t="str">
        <x:f>IF(B55=1,"12M ECL","Lifetime ECL")</x:f>
        <x:v>Lifetime ECL</x:v>
      </x:c>
    </x:row>
    <x:row r="56">
      <x:c r="A56" t="str">
        <x:f>'02_Loan_Portfolio'!A56</x:f>
        <x:v>LN00055</x:v>
      </x:c>
      <x:c r="B56" t="n">
        <x:f>'02_Loan_Portfolio'!Q56</x:f>
        <x:v>2</x:v>
      </x:c>
      <x:c r="C56" t="n">
        <x:f>'02_Loan_Portfolio'!N56</x:f>
        <x:v>0.21212</x:v>
      </x:c>
      <x:c r="D56" t="n">
        <x:f>'02_Loan_Portfolio'!R56</x:f>
        <x:v>0.636361</x:v>
      </x:c>
      <x:c r="E56" t="n">
        <x:f>'02_Loan_Portfolio'!O56</x:f>
        <x:v>0.471051</x:v>
      </x:c>
      <x:c r="F56" t="n">
        <x:f>'02_Loan_Portfolio'!P56</x:f>
        <x:v>635013016536</x:v>
      </x:c>
      <x:c r="G56" t="n">
        <x:f>IF(B56=1,C56,D56)</x:f>
        <x:v>0.636361</x:v>
      </x:c>
      <x:c r="H56" t="n">
        <x:f>G56*E56*F56</x:f>
        <x:v>190350540053.10165</x:v>
      </x:c>
      <x:c r="I56" t="str">
        <x:f>IF(B56=1,"12M ECL","Lifetime ECL")</x:f>
        <x:v>Lifetime ECL</x:v>
      </x:c>
    </x:row>
    <x:row r="57">
      <x:c r="A57" t="str">
        <x:f>'02_Loan_Portfolio'!A57</x:f>
        <x:v>LN00056</x:v>
      </x:c>
      <x:c r="B57" t="n">
        <x:f>'02_Loan_Portfolio'!Q57</x:f>
        <x:v>2</x:v>
      </x:c>
      <x:c r="C57" t="n">
        <x:f>'02_Loan_Portfolio'!N57</x:f>
        <x:v>0.087325</x:v>
      </x:c>
      <x:c r="D57" t="n">
        <x:f>'02_Loan_Portfolio'!R57</x:f>
        <x:v>0.261975</x:v>
      </x:c>
      <x:c r="E57" t="n">
        <x:f>'02_Loan_Portfolio'!O57</x:f>
        <x:v>0.869494</x:v>
      </x:c>
      <x:c r="F57" t="n">
        <x:f>'02_Loan_Portfolio'!P57</x:f>
        <x:v>2319584042441</x:v>
      </x:c>
      <x:c r="G57" t="n">
        <x:f>IF(B57=1,C57,D57)</x:f>
        <x:v>0.261975</x:v>
      </x:c>
      <x:c r="H57" t="n">
        <x:f>G57*E57*F57</x:f>
        <x:v>528368053128.14215</x:v>
      </x:c>
      <x:c r="I57" t="str">
        <x:f>IF(B57=1,"12M ECL","Lifetime ECL")</x:f>
        <x:v>Lifetime ECL</x:v>
      </x:c>
    </x:row>
    <x:row r="58">
      <x:c r="A58" t="str">
        <x:f>'02_Loan_Portfolio'!A58</x:f>
        <x:v>LN00057</x:v>
      </x:c>
      <x:c r="B58" t="n">
        <x:f>'02_Loan_Portfolio'!Q58</x:f>
        <x:v>1</x:v>
      </x:c>
      <x:c r="C58" t="n">
        <x:f>'02_Loan_Portfolio'!N58</x:f>
        <x:v>0.025</x:v>
      </x:c>
      <x:c r="D58" t="n">
        <x:f>'02_Loan_Portfolio'!R58</x:f>
        <x:v>0.0375</x:v>
      </x:c>
      <x:c r="E58" t="n">
        <x:f>'02_Loan_Portfolio'!O58</x:f>
        <x:v>0.773523</x:v>
      </x:c>
      <x:c r="F58" t="n">
        <x:f>'02_Loan_Portfolio'!P58</x:f>
        <x:v>2185138635035</x:v>
      </x:c>
      <x:c r="G58" t="n">
        <x:f>IF(B58=1,C58,D58)</x:f>
        <x:v>0.025</x:v>
      </x:c>
      <x:c r="H58" t="n">
        <x:f>G58*E58*F58</x:f>
        <x:v>42256374809.70446</x:v>
      </x:c>
      <x:c r="I58" t="str">
        <x:f>IF(B58=1,"12M ECL","Lifetime ECL")</x:f>
        <x:v>12M ECL</x:v>
      </x:c>
    </x:row>
    <x:row r="59">
      <x:c r="A59" t="str">
        <x:f>'02_Loan_Portfolio'!A59</x:f>
        <x:v>LN00058</x:v>
      </x:c>
      <x:c r="B59" t="n">
        <x:f>'02_Loan_Portfolio'!Q59</x:f>
        <x:v>3</x:v>
      </x:c>
      <x:c r="C59" t="n">
        <x:f>'02_Loan_Portfolio'!N59</x:f>
        <x:v>0.336052</x:v>
      </x:c>
      <x:c r="D59" t="n">
        <x:f>'02_Loan_Portfolio'!R59</x:f>
        <x:v>0.336052</x:v>
      </x:c>
      <x:c r="E59" t="n">
        <x:f>'02_Loan_Portfolio'!O59</x:f>
        <x:v>0.537657</x:v>
      </x:c>
      <x:c r="F59" t="n">
        <x:f>'02_Loan_Portfolio'!P59</x:f>
        <x:v>72322552893</x:v>
      </x:c>
      <x:c r="G59" t="n">
        <x:f>IF(B59=1,C59,D59)</x:f>
        <x:v>0.336052</x:v>
      </x:c>
      <x:c r="H59" t="n">
        <x:f>G59*E59*F59</x:f>
        <x:v>13067290217.580694</x:v>
      </x:c>
      <x:c r="I59" t="str">
        <x:f>IF(B59=1,"12M ECL","Lifetime ECL")</x:f>
        <x:v>Lifetime ECL</x:v>
      </x:c>
    </x:row>
    <x:row r="60">
      <x:c r="A60" t="str">
        <x:f>'02_Loan_Portfolio'!A60</x:f>
        <x:v>LN00059</x:v>
      </x:c>
      <x:c r="B60" t="n">
        <x:f>'02_Loan_Portfolio'!Q60</x:f>
        <x:v>1</x:v>
      </x:c>
      <x:c r="C60" t="n">
        <x:f>'02_Loan_Portfolio'!N60</x:f>
        <x:v>0.015131</x:v>
      </x:c>
      <x:c r="D60" t="n">
        <x:f>'02_Loan_Portfolio'!R60</x:f>
        <x:v>0.022697</x:v>
      </x:c>
      <x:c r="E60" t="n">
        <x:f>'02_Loan_Portfolio'!O60</x:f>
        <x:v>0.295221</x:v>
      </x:c>
      <x:c r="F60" t="n">
        <x:f>'02_Loan_Portfolio'!P60</x:f>
        <x:v>2059710451290</x:v>
      </x:c>
      <x:c r="G60" t="n">
        <x:f>IF(B60=1,C60,D60)</x:f>
        <x:v>0.015131</x:v>
      </x:c>
      <x:c r="H60" t="n">
        <x:f>G60*E60*F60</x:f>
        <x:v>9200703828.171654</x:v>
      </x:c>
      <x:c r="I60" t="str">
        <x:f>IF(B60=1,"12M ECL","Lifetime ECL")</x:f>
        <x:v>12M ECL</x:v>
      </x:c>
    </x:row>
    <x:row r="61">
      <x:c r="A61" t="str">
        <x:f>'02_Loan_Portfolio'!A61</x:f>
        <x:v>LN00060</x:v>
      </x:c>
      <x:c r="B61" t="n">
        <x:f>'02_Loan_Portfolio'!Q61</x:f>
        <x:v>1</x:v>
      </x:c>
      <x:c r="C61" t="n">
        <x:f>'02_Loan_Portfolio'!N61</x:f>
        <x:v>0.310627</x:v>
      </x:c>
      <x:c r="D61" t="n">
        <x:f>'02_Loan_Portfolio'!R61</x:f>
        <x:v>0.46594</x:v>
      </x:c>
      <x:c r="E61" t="n">
        <x:f>'02_Loan_Portfolio'!O61</x:f>
        <x:v>0.713046</x:v>
      </x:c>
      <x:c r="F61" t="n">
        <x:f>'02_Loan_Portfolio'!P61</x:f>
        <x:v>1427692854675</x:v>
      </x:c>
      <x:c r="G61" t="n">
        <x:f>IF(B61=1,C61,D61)</x:f>
        <x:v>0.310627</x:v>
      </x:c>
      <x:c r="H61" t="n">
        <x:f>G61*E61*F61</x:f>
        <x:v>316221603264.8155</x:v>
      </x:c>
      <x:c r="I61" t="str">
        <x:f>IF(B61=1,"12M ECL","Lifetime ECL")</x:f>
        <x:v>12M ECL</x:v>
      </x:c>
    </x:row>
    <x:row r="62">
      <x:c r="A62" t="str">
        <x:f>'02_Loan_Portfolio'!A62</x:f>
        <x:v>LN00061</x:v>
      </x:c>
      <x:c r="B62" t="n">
        <x:f>'02_Loan_Portfolio'!Q62</x:f>
        <x:v>2</x:v>
      </x:c>
      <x:c r="C62" t="n">
        <x:f>'02_Loan_Portfolio'!N62</x:f>
        <x:v>0.021</x:v>
      </x:c>
      <x:c r="D62" t="n">
        <x:f>'02_Loan_Portfolio'!R62</x:f>
        <x:v>0.063</x:v>
      </x:c>
      <x:c r="E62" t="n">
        <x:f>'02_Loan_Portfolio'!O62</x:f>
        <x:v>0.430715</x:v>
      </x:c>
      <x:c r="F62" t="n">
        <x:f>'02_Loan_Portfolio'!P62</x:f>
        <x:v>3027584153303</x:v>
      </x:c>
      <x:c r="G62" t="n">
        <x:f>IF(B62=1,C62,D62)</x:f>
        <x:v>0.063</x:v>
      </x:c>
      <x:c r="H62" t="n">
        <x:f>G62*E62*F62</x:f>
        <x:v>82153632241.1638</x:v>
      </x:c>
      <x:c r="I62" t="str">
        <x:f>IF(B62=1,"12M ECL","Lifetime ECL")</x:f>
        <x:v>Lifetime ECL</x:v>
      </x:c>
    </x:row>
    <x:row r="63">
      <x:c r="A63" t="str">
        <x:f>'02_Loan_Portfolio'!A63</x:f>
        <x:v>LN00062</x:v>
      </x:c>
      <x:c r="B63" t="n">
        <x:f>'02_Loan_Portfolio'!Q63</x:f>
        <x:v>2</x:v>
      </x:c>
      <x:c r="C63" t="n">
        <x:f>'02_Loan_Portfolio'!N63</x:f>
        <x:v>0.039583</x:v>
      </x:c>
      <x:c r="D63" t="n">
        <x:f>'02_Loan_Portfolio'!R63</x:f>
        <x:v>0.11875</x:v>
      </x:c>
      <x:c r="E63" t="n">
        <x:f>'02_Loan_Portfolio'!O63</x:f>
        <x:v>0.557114</x:v>
      </x:c>
      <x:c r="F63" t="n">
        <x:f>'02_Loan_Portfolio'!P63</x:f>
        <x:v>3469349522832</x:v>
      </x:c>
      <x:c r="G63" t="n">
        <x:f>IF(B63=1,C63,D63)</x:f>
        <x:v>0.11875</x:v>
      </x:c>
      <x:c r="H63" t="n">
        <x:f>G63*E63*F63</x:f>
        <x:v>229522753819.9844</x:v>
      </x:c>
      <x:c r="I63" t="str">
        <x:f>IF(B63=1,"12M ECL","Lifetime ECL")</x:f>
        <x:v>Lifetime ECL</x:v>
      </x:c>
    </x:row>
    <x:row r="64">
      <x:c r="A64" t="str">
        <x:f>'02_Loan_Portfolio'!A64</x:f>
        <x:v>LN00063</x:v>
      </x:c>
      <x:c r="B64" t="n">
        <x:f>'02_Loan_Portfolio'!Q64</x:f>
        <x:v>2</x:v>
      </x:c>
      <x:c r="C64" t="n">
        <x:f>'02_Loan_Portfolio'!N64</x:f>
        <x:v>0.040139</x:v>
      </x:c>
      <x:c r="D64" t="n">
        <x:f>'02_Loan_Portfolio'!R64</x:f>
        <x:v>0.120416</x:v>
      </x:c>
      <x:c r="E64" t="n">
        <x:f>'02_Loan_Portfolio'!O64</x:f>
        <x:v>0.649993</x:v>
      </x:c>
      <x:c r="F64" t="n">
        <x:f>'02_Loan_Portfolio'!P64</x:f>
        <x:v>1703186698265</x:v>
      </x:c>
      <x:c r="G64" t="n">
        <x:f>IF(B64=1,C64,D64)</x:f>
        <x:v>0.120416</x:v>
      </x:c>
      <x:c r="H64" t="n">
        <x:f>G64*E64*F64</x:f>
        <x:v>133307668511.37465</x:v>
      </x:c>
      <x:c r="I64" t="str">
        <x:f>IF(B64=1,"12M ECL","Lifetime ECL")</x:f>
        <x:v>Lifetime ECL</x:v>
      </x:c>
    </x:row>
    <x:row r="65">
      <x:c r="A65" t="str">
        <x:f>'02_Loan_Portfolio'!A65</x:f>
        <x:v>LN00064</x:v>
      </x:c>
      <x:c r="B65" t="n">
        <x:f>'02_Loan_Portfolio'!Q65</x:f>
        <x:v>1</x:v>
      </x:c>
      <x:c r="C65" t="n">
        <x:f>'02_Loan_Portfolio'!N65</x:f>
        <x:v>0.03125</x:v>
      </x:c>
      <x:c r="D65" t="n">
        <x:f>'02_Loan_Portfolio'!R65</x:f>
        <x:v>0.046875</x:v>
      </x:c>
      <x:c r="E65" t="n">
        <x:f>'02_Loan_Portfolio'!O65</x:f>
        <x:v>0.696652</x:v>
      </x:c>
      <x:c r="F65" t="n">
        <x:f>'02_Loan_Portfolio'!P65</x:f>
        <x:v>3362079560214</x:v>
      </x:c>
      <x:c r="G65" t="n">
        <x:f>IF(B65=1,C65,D65)</x:f>
        <x:v>0.03125</x:v>
      </x:c>
      <x:c r="H65" t="n">
        <x:f>G65*E65*F65</x:f>
        <x:v>73193732805.69386</x:v>
      </x:c>
      <x:c r="I65" t="str">
        <x:f>IF(B65=1,"12M ECL","Lifetime ECL")</x:f>
        <x:v>12M ECL</x:v>
      </x:c>
    </x:row>
    <x:row r="66">
      <x:c r="A66" t="str">
        <x:f>'02_Loan_Portfolio'!A66</x:f>
        <x:v>LN00065</x:v>
      </x:c>
      <x:c r="B66" t="n">
        <x:f>'02_Loan_Portfolio'!Q66</x:f>
        <x:v>2</x:v>
      </x:c>
      <x:c r="C66" t="n">
        <x:f>'02_Loan_Portfolio'!N66</x:f>
        <x:v>0.035755</x:v>
      </x:c>
      <x:c r="D66" t="n">
        <x:f>'02_Loan_Portfolio'!R66</x:f>
        <x:v>0.107265</x:v>
      </x:c>
      <x:c r="E66" t="n">
        <x:f>'02_Loan_Portfolio'!O66</x:f>
        <x:v>0.580055</x:v>
      </x:c>
      <x:c r="F66" t="n">
        <x:f>'02_Loan_Portfolio'!P66</x:f>
        <x:v>747059148449</x:v>
      </x:c>
      <x:c r="G66" t="n">
        <x:f>IF(B66=1,C66,D66)</x:f>
        <x:v>0.107265</x:v>
      </x:c>
      <x:c r="H66" t="n">
        <x:f>G66*E66*F66</x:f>
        <x:v>46481721075.337265</x:v>
      </x:c>
      <x:c r="I66" t="str">
        <x:f>IF(B66=1,"12M ECL","Lifetime ECL")</x:f>
        <x:v>Lifetime ECL</x:v>
      </x:c>
    </x:row>
    <x:row r="67">
      <x:c r="A67" t="str">
        <x:f>'02_Loan_Portfolio'!A67</x:f>
        <x:v>LN00066</x:v>
      </x:c>
      <x:c r="B67" t="n">
        <x:f>'02_Loan_Portfolio'!Q67</x:f>
        <x:v>2</x:v>
      </x:c>
      <x:c r="C67" t="n">
        <x:f>'02_Loan_Portfolio'!N67</x:f>
        <x:v>0.222806</x:v>
      </x:c>
      <x:c r="D67" t="n">
        <x:f>'02_Loan_Portfolio'!R67</x:f>
        <x:v>0.668417</x:v>
      </x:c>
      <x:c r="E67" t="n">
        <x:f>'02_Loan_Portfolio'!O67</x:f>
        <x:v>0.519054</x:v>
      </x:c>
      <x:c r="F67" t="n">
        <x:f>'02_Loan_Portfolio'!P67</x:f>
        <x:v>656461921338</x:v>
      </x:c>
      <x:c r="G67" t="n">
        <x:f>IF(B67=1,C67,D67)</x:f>
        <x:v>0.668417</x:v>
      </x:c>
      <x:c r="H67" t="n">
        <x:f>G67*E67*F67</x:f>
        <x:v>227755864567.5517</x:v>
      </x:c>
      <x:c r="I67" t="str">
        <x:f>IF(B67=1,"12M ECL","Lifetime ECL")</x:f>
        <x:v>Lifetime ECL</x:v>
      </x:c>
    </x:row>
    <x:row r="68">
      <x:c r="A68" t="str">
        <x:f>'02_Loan_Portfolio'!A68</x:f>
        <x:v>LN00067</x:v>
      </x:c>
      <x:c r="B68" t="n">
        <x:f>'02_Loan_Portfolio'!Q68</x:f>
        <x:v>2</x:v>
      </x:c>
      <x:c r="C68" t="n">
        <x:f>'02_Loan_Portfolio'!N68</x:f>
        <x:v>0.052083</x:v>
      </x:c>
      <x:c r="D68" t="n">
        <x:f>'02_Loan_Portfolio'!R68</x:f>
        <x:v>0.15625</x:v>
      </x:c>
      <x:c r="E68" t="n">
        <x:f>'02_Loan_Portfolio'!O68</x:f>
        <x:v>0.674263</x:v>
      </x:c>
      <x:c r="F68" t="n">
        <x:f>'02_Loan_Portfolio'!P68</x:f>
        <x:v>2885005842350</x:v>
      </x:c>
      <x:c r="G68" t="n">
        <x:f>IF(B68=1,C68,D68)</x:f>
        <x:v>0.15625</x:v>
      </x:c>
      <x:c r="H68" t="n">
        <x:f>G68*E68*F68</x:f>
        <x:v>303945733481.3184</x:v>
      </x:c>
      <x:c r="I68" t="str">
        <x:f>IF(B68=1,"12M ECL","Lifetime ECL")</x:f>
        <x:v>Lifetime ECL</x:v>
      </x:c>
    </x:row>
    <x:row r="69">
      <x:c r="A69" t="str">
        <x:f>'02_Loan_Portfolio'!A69</x:f>
        <x:v>LN00068</x:v>
      </x:c>
      <x:c r="B69" t="n">
        <x:f>'02_Loan_Portfolio'!Q69</x:f>
        <x:v>1</x:v>
      </x:c>
      <x:c r="C69" t="n">
        <x:f>'02_Loan_Portfolio'!N69</x:f>
        <x:v>0.138376</x:v>
      </x:c>
      <x:c r="D69" t="n">
        <x:f>'02_Loan_Portfolio'!R69</x:f>
        <x:v>0.207564</x:v>
      </x:c>
      <x:c r="E69" t="n">
        <x:f>'02_Loan_Portfolio'!O69</x:f>
        <x:v>0.494848</x:v>
      </x:c>
      <x:c r="F69" t="n">
        <x:f>'02_Loan_Portfolio'!P69</x:f>
        <x:v>578685232513</x:v>
      </x:c>
      <x:c r="G69" t="n">
        <x:f>IF(B69=1,C69,D69)</x:f>
        <x:v>0.138376</x:v>
      </x:c>
      <x:c r="H69" t="n">
        <x:f>G69*E69*F69</x:f>
        <x:v>39625521553.98274</x:v>
      </x:c>
      <x:c r="I69" t="str">
        <x:f>IF(B69=1,"12M ECL","Lifetime ECL")</x:f>
        <x:v>12M ECL</x:v>
      </x:c>
    </x:row>
    <x:row r="70">
      <x:c r="A70" t="str">
        <x:f>'02_Loan_Portfolio'!A70</x:f>
        <x:v>LN00069</x:v>
      </x:c>
      <x:c r="B70" t="n">
        <x:f>'02_Loan_Portfolio'!Q70</x:f>
        <x:v>1</x:v>
      </x:c>
      <x:c r="C70" t="n">
        <x:f>'02_Loan_Portfolio'!N70</x:f>
        <x:v>0.066632</x:v>
      </x:c>
      <x:c r="D70" t="n">
        <x:f>'02_Loan_Portfolio'!R70</x:f>
        <x:v>0.099948</x:v>
      </x:c>
      <x:c r="E70" t="n">
        <x:f>'02_Loan_Portfolio'!O70</x:f>
        <x:v>0.623744</x:v>
      </x:c>
      <x:c r="F70" t="n">
        <x:f>'02_Loan_Portfolio'!P70</x:f>
        <x:v>521518166153</x:v>
      </x:c>
      <x:c r="G70" t="n">
        <x:f>IF(B70=1,C70,D70)</x:f>
        <x:v>0.066632</x:v>
      </x:c>
      <x:c r="H70" t="n">
        <x:f>G70*E70*F70</x:f>
        <x:v>21674978282.592117</x:v>
      </x:c>
      <x:c r="I70" t="str">
        <x:f>IF(B70=1,"12M ECL","Lifetime ECL")</x:f>
        <x:v>12M ECL</x:v>
      </x:c>
    </x:row>
    <x:row r="71">
      <x:c r="A71" t="str">
        <x:f>'02_Loan_Portfolio'!A71</x:f>
        <x:v>LN00070</x:v>
      </x:c>
      <x:c r="B71" t="n">
        <x:f>'02_Loan_Portfolio'!Q71</x:f>
        <x:v>2</x:v>
      </x:c>
      <x:c r="C71" t="n">
        <x:f>'02_Loan_Portfolio'!N71</x:f>
        <x:v>0.22</x:v>
      </x:c>
      <x:c r="D71" t="n">
        <x:f>'02_Loan_Portfolio'!R71</x:f>
        <x:v>0.66</x:v>
      </x:c>
      <x:c r="E71" t="n">
        <x:f>'02_Loan_Portfolio'!O71</x:f>
        <x:v>0.621826</x:v>
      </x:c>
      <x:c r="F71" t="n">
        <x:f>'02_Loan_Portfolio'!P71</x:f>
        <x:v>914761968143</x:v>
      </x:c>
      <x:c r="G71" t="n">
        <x:f>IF(B71=1,C71,D71)</x:f>
        <x:v>0.66</x:v>
      </x:c>
      <x:c r="H71" t="n">
        <x:f>G71*E71*F71</x:f>
        <x:v>375423031897.6428</x:v>
      </x:c>
      <x:c r="I71" t="str">
        <x:f>IF(B71=1,"12M ECL","Lifetime ECL")</x:f>
        <x:v>Lifetime ECL</x:v>
      </x:c>
    </x:row>
    <x:row r="72">
      <x:c r="A72" t="str">
        <x:f>'02_Loan_Portfolio'!A72</x:f>
        <x:v>LN00071</x:v>
      </x:c>
      <x:c r="B72" t="n">
        <x:f>'02_Loan_Portfolio'!Q72</x:f>
        <x:v>3</x:v>
      </x:c>
      <x:c r="C72" t="n">
        <x:f>'02_Loan_Portfolio'!N72</x:f>
        <x:v>0.952702</x:v>
      </x:c>
      <x:c r="D72" t="n">
        <x:f>'02_Loan_Portfolio'!R72</x:f>
        <x:v>0.952702</x:v>
      </x:c>
      <x:c r="E72" t="n">
        <x:f>'02_Loan_Portfolio'!O72</x:f>
        <x:v>0.417175</x:v>
      </x:c>
      <x:c r="F72" t="n">
        <x:f>'02_Loan_Portfolio'!P72</x:f>
        <x:v>939716611787</x:v>
      </x:c>
      <x:c r="G72" t="n">
        <x:f>IF(B72=1,C72,D72)</x:f>
        <x:v>0.952702</x:v>
      </x:c>
      <x:c r="H72" t="n">
        <x:f>G72*E72*F72</x:f>
        <x:v>373484218647.99475</x:v>
      </x:c>
      <x:c r="I72" t="str">
        <x:f>IF(B72=1,"12M ECL","Lifetime ECL")</x:f>
        <x:v>Lifetime ECL</x:v>
      </x:c>
    </x:row>
    <x:row r="73">
      <x:c r="A73" t="str">
        <x:f>'02_Loan_Portfolio'!A73</x:f>
        <x:v>LN00072</x:v>
      </x:c>
      <x:c r="B73" t="n">
        <x:f>'02_Loan_Portfolio'!Q73</x:f>
        <x:v>1</x:v>
      </x:c>
      <x:c r="C73" t="n">
        <x:f>'02_Loan_Portfolio'!N73</x:f>
        <x:v>0.15</x:v>
      </x:c>
      <x:c r="D73" t="n">
        <x:f>'02_Loan_Portfolio'!R73</x:f>
        <x:v>0.225</x:v>
      </x:c>
      <x:c r="E73" t="n">
        <x:f>'02_Loan_Portfolio'!O73</x:f>
        <x:v>0.445505</x:v>
      </x:c>
      <x:c r="F73" t="n">
        <x:f>'02_Loan_Portfolio'!P73</x:f>
        <x:v>542447098665</x:v>
      </x:c>
      <x:c r="G73" t="n">
        <x:f>IF(B73=1,C73,D73)</x:f>
        <x:v>0.15</x:v>
      </x:c>
      <x:c r="H73" t="n">
        <x:f>G73*E73*F73</x:f>
        <x:v>36249434203.61262</x:v>
      </x:c>
      <x:c r="I73" t="str">
        <x:f>IF(B73=1,"12M ECL","Lifetime ECL")</x:f>
        <x:v>12M ECL</x:v>
      </x:c>
    </x:row>
    <x:row r="74">
      <x:c r="A74" t="str">
        <x:f>'02_Loan_Portfolio'!A74</x:f>
        <x:v>LN00073</x:v>
      </x:c>
      <x:c r="B74" t="n">
        <x:f>'02_Loan_Portfolio'!Q74</x:f>
        <x:v>3</x:v>
      </x:c>
      <x:c r="C74" t="n">
        <x:f>'02_Loan_Portfolio'!N74</x:f>
        <x:v>0.066932</x:v>
      </x:c>
      <x:c r="D74" t="n">
        <x:f>'02_Loan_Portfolio'!R74</x:f>
        <x:v>0.066932</x:v>
      </x:c>
      <x:c r="E74" t="n">
        <x:f>'02_Loan_Portfolio'!O74</x:f>
        <x:v>0.49713</x:v>
      </x:c>
      <x:c r="F74" t="n">
        <x:f>'02_Loan_Portfolio'!P74</x:f>
        <x:v>2021050356590</x:v>
      </x:c>
      <x:c r="G74" t="n">
        <x:f>IF(B74=1,C74,D74)</x:f>
        <x:v>0.066932</x:v>
      </x:c>
      <x:c r="H74" t="n">
        <x:f>G74*E74*F74</x:f>
        <x:v>67248237888.75985</x:v>
      </x:c>
      <x:c r="I74" t="str">
        <x:f>IF(B74=1,"12M ECL","Lifetime ECL")</x:f>
        <x:v>Lifetime ECL</x:v>
      </x:c>
    </x:row>
    <x:row r="75">
      <x:c r="A75" t="str">
        <x:f>'02_Loan_Portfolio'!A75</x:f>
        <x:v>LN00074</x:v>
      </x:c>
      <x:c r="B75" t="n">
        <x:f>'02_Loan_Portfolio'!Q75</x:f>
        <x:v>1</x:v>
      </x:c>
      <x:c r="C75" t="n">
        <x:f>'02_Loan_Portfolio'!N75</x:f>
        <x:v>0.03399</x:v>
      </x:c>
      <x:c r="D75" t="n">
        <x:f>'02_Loan_Portfolio'!R75</x:f>
        <x:v>0.050985</x:v>
      </x:c>
      <x:c r="E75" t="n">
        <x:f>'02_Loan_Portfolio'!O75</x:f>
        <x:v>0.537089</x:v>
      </x:c>
      <x:c r="F75" t="n">
        <x:f>'02_Loan_Portfolio'!P75</x:f>
        <x:v>352046009369</x:v>
      </x:c>
      <x:c r="G75" t="n">
        <x:f>IF(B75=1,C75,D75)</x:f>
        <x:v>0.03399</x:v>
      </x:c>
      <x:c r="H75" t="n">
        <x:f>G75*E75*F75</x:f>
        <x:v>6426830529.892293</x:v>
      </x:c>
      <x:c r="I75" t="str">
        <x:f>IF(B75=1,"12M ECL","Lifetime ECL")</x:f>
        <x:v>12M ECL</x:v>
      </x:c>
    </x:row>
    <x:row r="76">
      <x:c r="A76" t="str">
        <x:f>'02_Loan_Portfolio'!A76</x:f>
        <x:v>LN00075</x:v>
      </x:c>
      <x:c r="B76" t="n">
        <x:f>'02_Loan_Portfolio'!Q76</x:f>
        <x:v>1</x:v>
      </x:c>
      <x:c r="C76" t="n">
        <x:f>'02_Loan_Portfolio'!N76</x:f>
        <x:v>0.037878</x:v>
      </x:c>
      <x:c r="D76" t="n">
        <x:f>'02_Loan_Portfolio'!R76</x:f>
        <x:v>0.056817</x:v>
      </x:c>
      <x:c r="E76" t="n">
        <x:f>'02_Loan_Portfolio'!O76</x:f>
        <x:v>0.396626</x:v>
      </x:c>
      <x:c r="F76" t="n">
        <x:f>'02_Loan_Portfolio'!P76</x:f>
        <x:v>2935229877015</x:v>
      </x:c>
      <x:c r="G76" t="n">
        <x:f>IF(B76=1,C76,D76)</x:f>
        <x:v>0.037878</x:v>
      </x:c>
      <x:c r="H76" t="n">
        <x:f>G76*E76*F76</x:f>
        <x:v>44097131442.441635</x:v>
      </x:c>
      <x:c r="I76" t="str">
        <x:f>IF(B76=1,"12M ECL","Lifetime ECL")</x:f>
        <x:v>12M ECL</x:v>
      </x:c>
    </x:row>
    <x:row r="77">
      <x:c r="A77" t="str">
        <x:f>'02_Loan_Portfolio'!A77</x:f>
        <x:v>LN00076</x:v>
      </x:c>
      <x:c r="B77" t="n">
        <x:f>'02_Loan_Portfolio'!Q77</x:f>
        <x:v>1</x:v>
      </x:c>
      <x:c r="C77" t="n">
        <x:f>'02_Loan_Portfolio'!N77</x:f>
        <x:v>0.03718</x:v>
      </x:c>
      <x:c r="D77" t="n">
        <x:f>'02_Loan_Portfolio'!R77</x:f>
        <x:v>0.05577</x:v>
      </x:c>
      <x:c r="E77" t="n">
        <x:f>'02_Loan_Portfolio'!O77</x:f>
        <x:v>0.609819</x:v>
      </x:c>
      <x:c r="F77" t="n">
        <x:f>'02_Loan_Portfolio'!P77</x:f>
        <x:v>3282676517606</x:v>
      </x:c>
      <x:c r="G77" t="n">
        <x:f>IF(B77=1,C77,D77)</x:f>
        <x:v>0.03718</x:v>
      </x:c>
      <x:c r="H77" t="n">
        <x:f>G77*E77*F77</x:f>
        <x:v>74428355849.76122</x:v>
      </x:c>
      <x:c r="I77" t="str">
        <x:f>IF(B77=1,"12M ECL","Lifetime ECL")</x:f>
        <x:v>12M ECL</x:v>
      </x:c>
    </x:row>
    <x:row r="78">
      <x:c r="A78" t="str">
        <x:f>'02_Loan_Portfolio'!A78</x:f>
        <x:v>LN00077</x:v>
      </x:c>
      <x:c r="B78" t="n">
        <x:f>'02_Loan_Portfolio'!Q78</x:f>
        <x:v>1</x:v>
      </x:c>
      <x:c r="C78" t="n">
        <x:f>'02_Loan_Portfolio'!N78</x:f>
        <x:v>0.095745</x:v>
      </x:c>
      <x:c r="D78" t="n">
        <x:f>'02_Loan_Portfolio'!R78</x:f>
        <x:v>0.143617</x:v>
      </x:c>
      <x:c r="E78" t="n">
        <x:f>'02_Loan_Portfolio'!O78</x:f>
        <x:v>0.714228</x:v>
      </x:c>
      <x:c r="F78" t="n">
        <x:f>'02_Loan_Portfolio'!P78</x:f>
        <x:v>2004948921504</x:v>
      </x:c>
      <x:c r="G78" t="n">
        <x:f>IF(B78=1,C78,D78)</x:f>
        <x:v>0.095745</x:v>
      </x:c>
      <x:c r="H78" t="n">
        <x:f>G78*E78*F78</x:f>
        <x:v>137105945579.69551</x:v>
      </x:c>
      <x:c r="I78" t="str">
        <x:f>IF(B78=1,"12M ECL","Lifetime ECL")</x:f>
        <x:v>12M ECL</x:v>
      </x:c>
    </x:row>
    <x:row r="79">
      <x:c r="A79" t="str">
        <x:f>'02_Loan_Portfolio'!A79</x:f>
        <x:v>LN00078</x:v>
      </x:c>
      <x:c r="B79" t="n">
        <x:f>'02_Loan_Portfolio'!Q79</x:f>
        <x:v>2</x:v>
      </x:c>
      <x:c r="C79" t="n">
        <x:f>'02_Loan_Portfolio'!N79</x:f>
        <x:v>0.028</x:v>
      </x:c>
      <x:c r="D79" t="n">
        <x:f>'02_Loan_Portfolio'!R79</x:f>
        <x:v>0.084</x:v>
      </x:c>
      <x:c r="E79" t="n">
        <x:f>'02_Loan_Portfolio'!O79</x:f>
        <x:v>0.524732</x:v>
      </x:c>
      <x:c r="F79" t="n">
        <x:f>'02_Loan_Portfolio'!P79</x:f>
        <x:v>2702286874891</x:v>
      </x:c>
      <x:c r="G79" t="n">
        <x:f>IF(B79=1,C79,D79)</x:f>
        <x:v>0.084</x:v>
      </x:c>
      <x:c r="H79" t="n">
        <x:f>G79*E79*F79</x:f>
        <x:v>119110017300.56555</x:v>
      </x:c>
      <x:c r="I79" t="str">
        <x:f>IF(B79=1,"12M ECL","Lifetime ECL")</x:f>
        <x:v>Lifetime ECL</x:v>
      </x:c>
    </x:row>
    <x:row r="80">
      <x:c r="A80" t="str">
        <x:f>'02_Loan_Portfolio'!A80</x:f>
        <x:v>LN00079</x:v>
      </x:c>
      <x:c r="B80" t="n">
        <x:f>'02_Loan_Portfolio'!Q80</x:f>
        <x:v>1</x:v>
      </x:c>
      <x:c r="C80" t="n">
        <x:f>'02_Loan_Portfolio'!N80</x:f>
        <x:v>0.070079</x:v>
      </x:c>
      <x:c r="D80" t="n">
        <x:f>'02_Loan_Portfolio'!R80</x:f>
        <x:v>0.105118</x:v>
      </x:c>
      <x:c r="E80" t="n">
        <x:f>'02_Loan_Portfolio'!O80</x:f>
        <x:v>0.611178</x:v>
      </x:c>
      <x:c r="F80" t="n">
        <x:f>'02_Loan_Portfolio'!P80</x:f>
        <x:v>28653058149</x:v>
      </x:c>
      <x:c r="G80" t="n">
        <x:f>IF(B80=1,C80,D80)</x:f>
        <x:v>0.070079</x:v>
      </x:c>
      <x:c r="H80" t="n">
        <x:f>G80*E80*F80</x:f>
        <x:v>1227231771.5203643</x:v>
      </x:c>
      <x:c r="I80" t="str">
        <x:f>IF(B80=1,"12M ECL","Lifetime ECL")</x:f>
        <x:v>12M ECL</x:v>
      </x:c>
    </x:row>
    <x:row r="81">
      <x:c r="A81" t="str">
        <x:f>'02_Loan_Portfolio'!A81</x:f>
        <x:v>LN00080</x:v>
      </x:c>
      <x:c r="B81" t="n">
        <x:f>'02_Loan_Portfolio'!Q81</x:f>
        <x:v>1</x:v>
      </x:c>
      <x:c r="C81" t="n">
        <x:f>'02_Loan_Portfolio'!N81</x:f>
        <x:v>0.026398</x:v>
      </x:c>
      <x:c r="D81" t="n">
        <x:f>'02_Loan_Portfolio'!R81</x:f>
        <x:v>0.039597</x:v>
      </x:c>
      <x:c r="E81" t="n">
        <x:f>'02_Loan_Portfolio'!O81</x:f>
        <x:v>0.392089</x:v>
      </x:c>
      <x:c r="F81" t="n">
        <x:f>'02_Loan_Portfolio'!P81</x:f>
        <x:v>2514076814424</x:v>
      </x:c>
      <x:c r="G81" t="n">
        <x:f>IF(B81=1,C81,D81)</x:f>
        <x:v>0.026398</x:v>
      </x:c>
      <x:c r="H81" t="n">
        <x:f>G81*E81*F81</x:f>
        <x:v>26021613728.266083</x:v>
      </x:c>
      <x:c r="I81" t="str">
        <x:f>IF(B81=1,"12M ECL","Lifetime ECL")</x:f>
        <x:v>12M ECL</x:v>
      </x:c>
    </x:row>
    <x:row r="82">
      <x:c r="A82" t="str">
        <x:f>'02_Loan_Portfolio'!A82</x:f>
        <x:v>LN00081</x:v>
      </x:c>
      <x:c r="B82" t="n">
        <x:f>'02_Loan_Portfolio'!Q82</x:f>
        <x:v>1</x:v>
      </x:c>
      <x:c r="C82" t="n">
        <x:f>'02_Loan_Portfolio'!N82</x:f>
        <x:v>0.025</x:v>
      </x:c>
      <x:c r="D82" t="n">
        <x:f>'02_Loan_Portfolio'!R82</x:f>
        <x:v>0.0375</x:v>
      </x:c>
      <x:c r="E82" t="n">
        <x:f>'02_Loan_Portfolio'!O82</x:f>
        <x:v>0.512388</x:v>
      </x:c>
      <x:c r="F82" t="n">
        <x:f>'02_Loan_Portfolio'!P82</x:f>
        <x:v>479248870264</x:v>
      </x:c>
      <x:c r="G82" t="n">
        <x:f>IF(B82=1,C82,D82)</x:f>
        <x:v>0.025</x:v>
      </x:c>
      <x:c r="H82" t="n">
        <x:f>G82*E82*F82</x:f>
        <x:v>6139034253.420761</x:v>
      </x:c>
      <x:c r="I82" t="str">
        <x:f>IF(B82=1,"12M ECL","Lifetime ECL")</x:f>
        <x:v>12M ECL</x:v>
      </x:c>
    </x:row>
    <x:row r="83">
      <x:c r="A83" t="str">
        <x:f>'02_Loan_Portfolio'!A83</x:f>
        <x:v>LN00082</x:v>
      </x:c>
      <x:c r="B83" t="n">
        <x:f>'02_Loan_Portfolio'!Q83</x:f>
        <x:v>1</x:v>
      </x:c>
      <x:c r="C83" t="n">
        <x:f>'02_Loan_Portfolio'!N83</x:f>
        <x:v>0.03685</x:v>
      </x:c>
      <x:c r="D83" t="n">
        <x:f>'02_Loan_Portfolio'!R83</x:f>
        <x:v>0.055275</x:v>
      </x:c>
      <x:c r="E83" t="n">
        <x:f>'02_Loan_Portfolio'!O83</x:f>
        <x:v>0.605402</x:v>
      </x:c>
      <x:c r="F83" t="n">
        <x:f>'02_Loan_Portfolio'!P83</x:f>
        <x:v>1820818238555</x:v>
      </x:c>
      <x:c r="G83" t="n">
        <x:f>IF(B83=1,C83,D83)</x:f>
        <x:v>0.03685</x:v>
      </x:c>
      <x:c r="H83" t="n">
        <x:f>G83*E83*F83</x:f>
        <x:v>40620750070.04529</x:v>
      </x:c>
      <x:c r="I83" t="str">
        <x:f>IF(B83=1,"12M ECL","Lifetime ECL")</x:f>
        <x:v>12M ECL</x:v>
      </x:c>
    </x:row>
    <x:row r="84">
      <x:c r="A84" t="str">
        <x:f>'02_Loan_Portfolio'!A84</x:f>
        <x:v>LN00083</x:v>
      </x:c>
      <x:c r="B84" t="n">
        <x:f>'02_Loan_Portfolio'!Q84</x:f>
        <x:v>1</x:v>
      </x:c>
      <x:c r="C84" t="n">
        <x:f>'02_Loan_Portfolio'!N84</x:f>
        <x:v>0.0026</x:v>
      </x:c>
      <x:c r="D84" t="n">
        <x:f>'02_Loan_Portfolio'!R84</x:f>
        <x:v>0.0039</x:v>
      </x:c>
      <x:c r="E84" t="n">
        <x:f>'02_Loan_Portfolio'!O84</x:f>
        <x:v>0.379174</x:v>
      </x:c>
      <x:c r="F84" t="n">
        <x:f>'02_Loan_Portfolio'!P84</x:f>
        <x:v>2100599410445</x:v>
      </x:c>
      <x:c r="G84" t="n">
        <x:f>IF(B84=1,C84,D84)</x:f>
        <x:v>0.0026</x:v>
      </x:c>
      <x:c r="H84" t="n">
        <x:f>G84*E84*F84</x:f>
        <x:v>2070880970.2257886</x:v>
      </x:c>
      <x:c r="I84" t="str">
        <x:f>IF(B84=1,"12M ECL","Lifetime ECL")</x:f>
        <x:v>12M ECL</x:v>
      </x:c>
    </x:row>
    <x:row r="85">
      <x:c r="A85" t="str">
        <x:f>'02_Loan_Portfolio'!A85</x:f>
        <x:v>LN00084</x:v>
      </x:c>
      <x:c r="B85" t="n">
        <x:f>'02_Loan_Portfolio'!Q85</x:f>
        <x:v>1</x:v>
      </x:c>
      <x:c r="C85" t="n">
        <x:f>'02_Loan_Portfolio'!N85</x:f>
        <x:v>0.12</x:v>
      </x:c>
      <x:c r="D85" t="n">
        <x:f>'02_Loan_Portfolio'!R85</x:f>
        <x:v>0.18</x:v>
      </x:c>
      <x:c r="E85" t="n">
        <x:f>'02_Loan_Portfolio'!O85</x:f>
        <x:v>0.659714</x:v>
      </x:c>
      <x:c r="F85" t="n">
        <x:f>'02_Loan_Portfolio'!P85</x:f>
        <x:v>2178408109904</x:v>
      </x:c>
      <x:c r="G85" t="n">
        <x:f>IF(B85=1,C85,D85)</x:f>
        <x:v>0.12</x:v>
      </x:c>
      <x:c r="H85" t="n">
        <x:f>G85*E85*F85</x:f>
        <x:v>172455159338.0649</x:v>
      </x:c>
      <x:c r="I85" t="str">
        <x:f>IF(B85=1,"12M ECL","Lifetime ECL")</x:f>
        <x:v>12M ECL</x:v>
      </x:c>
    </x:row>
    <x:row r="86">
      <x:c r="A86" t="str">
        <x:f>'02_Loan_Portfolio'!A86</x:f>
        <x:v>LN00085</x:v>
      </x:c>
      <x:c r="B86" t="n">
        <x:f>'02_Loan_Portfolio'!Q86</x:f>
        <x:v>1</x:v>
      </x:c>
      <x:c r="C86" t="n">
        <x:f>'02_Loan_Portfolio'!N86</x:f>
        <x:v>0.0375</x:v>
      </x:c>
      <x:c r="D86" t="n">
        <x:f>'02_Loan_Portfolio'!R86</x:f>
        <x:v>0.05625</x:v>
      </x:c>
      <x:c r="E86" t="n">
        <x:f>'02_Loan_Portfolio'!O86</x:f>
        <x:v>0.452853</x:v>
      </x:c>
      <x:c r="F86" t="n">
        <x:f>'02_Loan_Portfolio'!P86</x:f>
        <x:v>1087284370733</x:v>
      </x:c>
      <x:c r="G86" t="n">
        <x:f>IF(B86=1,C86,D86)</x:f>
        <x:v>0.0375</x:v>
      </x:c>
      <x:c r="H86" t="n">
        <x:f>G86*E86*F86</x:f>
        <x:v>18464249592.733173</x:v>
      </x:c>
      <x:c r="I86" t="str">
        <x:f>IF(B86=1,"12M ECL","Lifetime ECL")</x:f>
        <x:v>12M ECL</x:v>
      </x:c>
    </x:row>
    <x:row r="87">
      <x:c r="A87" t="str">
        <x:f>'02_Loan_Portfolio'!A87</x:f>
        <x:v>LN00086</x:v>
      </x:c>
      <x:c r="B87" t="n">
        <x:f>'02_Loan_Portfolio'!Q87</x:f>
        <x:v>1</x:v>
      </x:c>
      <x:c r="C87" t="n">
        <x:f>'02_Loan_Portfolio'!N87</x:f>
        <x:v>0.060473</x:v>
      </x:c>
      <x:c r="D87" t="n">
        <x:f>'02_Loan_Portfolio'!R87</x:f>
        <x:v>0.09071</x:v>
      </x:c>
      <x:c r="E87" t="n">
        <x:f>'02_Loan_Portfolio'!O87</x:f>
        <x:v>0.66662</x:v>
      </x:c>
      <x:c r="F87" t="n">
        <x:f>'02_Loan_Portfolio'!P87</x:f>
        <x:v>1331215342596</x:v>
      </x:c>
      <x:c r="G87" t="n">
        <x:f>IF(B87=1,C87,D87)</x:f>
        <x:v>0.060473</x:v>
      </x:c>
      <x:c r="H87" t="n">
        <x:f>G87*E87*F87</x:f>
        <x:v>53664633487.886</x:v>
      </x:c>
      <x:c r="I87" t="str">
        <x:f>IF(B87=1,"12M ECL","Lifetime ECL")</x:f>
        <x:v>12M ECL</x:v>
      </x:c>
    </x:row>
    <x:row r="88">
      <x:c r="A88" t="str">
        <x:f>'02_Loan_Portfolio'!A88</x:f>
        <x:v>LN00087</x:v>
      </x:c>
      <x:c r="B88" t="n">
        <x:f>'02_Loan_Portfolio'!Q88</x:f>
        <x:v>1</x:v>
      </x:c>
      <x:c r="C88" t="n">
        <x:f>'02_Loan_Portfolio'!N88</x:f>
        <x:v>0.00644</x:v>
      </x:c>
      <x:c r="D88" t="n">
        <x:f>'02_Loan_Portfolio'!R88</x:f>
        <x:v>0.00966</x:v>
      </x:c>
      <x:c r="E88" t="n">
        <x:f>'02_Loan_Portfolio'!O88</x:f>
        <x:v>0.408505</x:v>
      </x:c>
      <x:c r="F88" t="n">
        <x:f>'02_Loan_Portfolio'!P88</x:f>
        <x:v>2790581540097</x:v>
      </x:c>
      <x:c r="G88" t="n">
        <x:f>IF(B88=1,C88,D88)</x:f>
        <x:v>0.00644</x:v>
      </x:c>
      <x:c r="H88" t="n">
        <x:f>G88*E88*F88</x:f>
        <x:v>7341384337.520373</x:v>
      </x:c>
      <x:c r="I88" t="str">
        <x:f>IF(B88=1,"12M ECL","Lifetime ECL")</x:f>
        <x:v>12M ECL</x:v>
      </x:c>
    </x:row>
    <x:row r="89">
      <x:c r="A89" t="str">
        <x:f>'02_Loan_Portfolio'!A89</x:f>
        <x:v>LN00088</x:v>
      </x:c>
      <x:c r="B89" t="n">
        <x:f>'02_Loan_Portfolio'!Q89</x:f>
        <x:v>1</x:v>
      </x:c>
      <x:c r="C89" t="n">
        <x:f>'02_Loan_Portfolio'!N89</x:f>
        <x:v>0.28</x:v>
      </x:c>
      <x:c r="D89" t="n">
        <x:f>'02_Loan_Portfolio'!R89</x:f>
        <x:v>0.42</x:v>
      </x:c>
      <x:c r="E89" t="n">
        <x:f>'02_Loan_Portfolio'!O89</x:f>
        <x:v>0.586573</x:v>
      </x:c>
      <x:c r="F89" t="n">
        <x:f>'02_Loan_Portfolio'!P89</x:f>
        <x:v>2971429646498</x:v>
      </x:c>
      <x:c r="G89" t="n">
        <x:f>IF(B89=1,C89,D89)</x:f>
        <x:v>0.28</x:v>
      </x:c>
      <x:c r="H89" t="n">
        <x:f>G89*E89*F89</x:f>
        <x:v>488028912569.87604</x:v>
      </x:c>
      <x:c r="I89" t="str">
        <x:f>IF(B89=1,"12M ECL","Lifetime ECL")</x:f>
        <x:v>12M ECL</x:v>
      </x:c>
    </x:row>
    <x:row r="90">
      <x:c r="A90" t="str">
        <x:f>'02_Loan_Portfolio'!A90</x:f>
        <x:v>LN00089</x:v>
      </x:c>
      <x:c r="B90" t="n">
        <x:f>'02_Loan_Portfolio'!Q90</x:f>
        <x:v>2</x:v>
      </x:c>
      <x:c r="C90" t="n">
        <x:f>'02_Loan_Portfolio'!N90</x:f>
        <x:v>0.045833</x:v>
      </x:c>
      <x:c r="D90" t="n">
        <x:f>'02_Loan_Portfolio'!R90</x:f>
        <x:v>0.1375</x:v>
      </x:c>
      <x:c r="E90" t="n">
        <x:f>'02_Loan_Portfolio'!O90</x:f>
        <x:v>0.506054</x:v>
      </x:c>
      <x:c r="F90" t="n">
        <x:f>'02_Loan_Portfolio'!P90</x:f>
        <x:v>2887307697562</x:v>
      </x:c>
      <x:c r="G90" t="n">
        <x:f>IF(B90=1,C90,D90)</x:f>
        <x:v>0.1375</x:v>
      </x:c>
      <x:c r="H90" t="n">
        <x:f>G90*E90*F90</x:f>
        <x:v>200905871317.53055</x:v>
      </x:c>
      <x:c r="I90" t="str">
        <x:f>IF(B90=1,"12M ECL","Lifetime ECL")</x:f>
        <x:v>Lifetime ECL</x:v>
      </x:c>
    </x:row>
    <x:row r="91">
      <x:c r="A91" t="str">
        <x:f>'02_Loan_Portfolio'!A91</x:f>
        <x:v>LN00090</x:v>
      </x:c>
      <x:c r="B91" t="n">
        <x:f>'02_Loan_Portfolio'!Q91</x:f>
        <x:v>1</x:v>
      </x:c>
      <x:c r="C91" t="n">
        <x:f>'02_Loan_Portfolio'!N91</x:f>
        <x:v>0.015582</x:v>
      </x:c>
      <x:c r="D91" t="n">
        <x:f>'02_Loan_Portfolio'!R91</x:f>
        <x:v>0.023373</x:v>
      </x:c>
      <x:c r="E91" t="n">
        <x:f>'02_Loan_Portfolio'!O91</x:f>
        <x:v>0.646549</x:v>
      </x:c>
      <x:c r="F91" t="n">
        <x:f>'02_Loan_Portfolio'!P91</x:f>
        <x:v>3203105547443</x:v>
      </x:c>
      <x:c r="G91" t="n">
        <x:f>IF(B91=1,C91,D91)</x:f>
        <x:v>0.015582</x:v>
      </x:c>
      <x:c r="H91" t="n">
        <x:f>G91*E91*F91</x:f>
        <x:v>32269771777.66741</x:v>
      </x:c>
      <x:c r="I91" t="str">
        <x:f>IF(B91=1,"12M ECL","Lifetime ECL")</x:f>
        <x:v>12M ECL</x:v>
      </x:c>
    </x:row>
    <x:row r="92">
      <x:c r="A92" t="str">
        <x:f>'02_Loan_Portfolio'!A92</x:f>
        <x:v>LN00091</x:v>
      </x:c>
      <x:c r="B92" t="n">
        <x:f>'02_Loan_Portfolio'!Q92</x:f>
        <x:v>1</x:v>
      </x:c>
      <x:c r="C92" t="n">
        <x:f>'02_Loan_Portfolio'!N92</x:f>
        <x:v>0.070681</x:v>
      </x:c>
      <x:c r="D92" t="n">
        <x:f>'02_Loan_Portfolio'!R92</x:f>
        <x:v>0.106022</x:v>
      </x:c>
      <x:c r="E92" t="n">
        <x:f>'02_Loan_Portfolio'!O92</x:f>
        <x:v>0.538525</x:v>
      </x:c>
      <x:c r="F92" t="n">
        <x:f>'02_Loan_Portfolio'!P92</x:f>
        <x:v>1569671092313</x:v>
      </x:c>
      <x:c r="G92" t="n">
        <x:f>IF(B92=1,C92,D92)</x:f>
        <x:v>0.070681</x:v>
      </x:c>
      <x:c r="H92" t="n">
        <x:f>G92*E92*F92</x:f>
        <x:v>59747152901.26681</x:v>
      </x:c>
      <x:c r="I92" t="str">
        <x:f>IF(B92=1,"12M ECL","Lifetime ECL")</x:f>
        <x:v>12M ECL</x:v>
      </x:c>
    </x:row>
    <x:row r="93">
      <x:c r="A93" t="str">
        <x:f>'02_Loan_Portfolio'!A93</x:f>
        <x:v>LN00092</x:v>
      </x:c>
      <x:c r="B93" t="n">
        <x:f>'02_Loan_Portfolio'!Q93</x:f>
        <x:v>1</x:v>
      </x:c>
      <x:c r="C93" t="n">
        <x:f>'02_Loan_Portfolio'!N93</x:f>
        <x:v>0.073916</x:v>
      </x:c>
      <x:c r="D93" t="n">
        <x:f>'02_Loan_Portfolio'!R93</x:f>
        <x:v>0.110873</x:v>
      </x:c>
      <x:c r="E93" t="n">
        <x:f>'02_Loan_Portfolio'!O93</x:f>
        <x:v>0.547494</x:v>
      </x:c>
      <x:c r="F93" t="n">
        <x:f>'02_Loan_Portfolio'!P93</x:f>
        <x:v>2592750499949</x:v>
      </x:c>
      <x:c r="G93" t="n">
        <x:f>IF(B93=1,C93,D93)</x:f>
        <x:v>0.073916</x:v>
      </x:c>
      <x:c r="H93" t="n">
        <x:f>G93*E93*F93</x:f>
        <x:v>104924896035.46535</x:v>
      </x:c>
      <x:c r="I93" t="str">
        <x:f>IF(B93=1,"12M ECL","Lifetime ECL")</x:f>
        <x:v>12M ECL</x:v>
      </x:c>
    </x:row>
    <x:row r="94">
      <x:c r="A94" t="str">
        <x:f>'02_Loan_Portfolio'!A94</x:f>
        <x:v>LN00093</x:v>
      </x:c>
      <x:c r="B94" t="n">
        <x:f>'02_Loan_Portfolio'!Q94</x:f>
        <x:v>1</x:v>
      </x:c>
      <x:c r="C94" t="n">
        <x:f>'02_Loan_Portfolio'!N94</x:f>
        <x:v>0.057951</x:v>
      </x:c>
      <x:c r="D94" t="n">
        <x:f>'02_Loan_Portfolio'!R94</x:f>
        <x:v>0.086927</x:v>
      </x:c>
      <x:c r="E94" t="n">
        <x:f>'02_Loan_Portfolio'!O94</x:f>
        <x:v>0.408273</x:v>
      </x:c>
      <x:c r="F94" t="n">
        <x:f>'02_Loan_Portfolio'!P94</x:f>
        <x:v>1465846529304</x:v>
      </x:c>
      <x:c r="G94" t="n">
        <x:f>IF(B94=1,C94,D94)</x:f>
        <x:v>0.057951</x:v>
      </x:c>
      <x:c r="H94" t="n">
        <x:f>G94*E94*F94</x:f>
        <x:v>34681677670.95199</x:v>
      </x:c>
      <x:c r="I94" t="str">
        <x:f>IF(B94=1,"12M ECL","Lifetime ECL")</x:f>
        <x:v>12M ECL</x:v>
      </x:c>
    </x:row>
    <x:row r="95">
      <x:c r="A95" t="str">
        <x:f>'02_Loan_Portfolio'!A95</x:f>
        <x:v>LN00094</x:v>
      </x:c>
      <x:c r="B95" t="n">
        <x:f>'02_Loan_Portfolio'!Q95</x:f>
        <x:v>2</x:v>
      </x:c>
      <x:c r="C95" t="n">
        <x:f>'02_Loan_Portfolio'!N95</x:f>
        <x:v>0.19</x:v>
      </x:c>
      <x:c r="D95" t="n">
        <x:f>'02_Loan_Portfolio'!R95</x:f>
        <x:v>0.57</x:v>
      </x:c>
      <x:c r="E95" t="n">
        <x:f>'02_Loan_Portfolio'!O95</x:f>
        <x:v>0.399485</x:v>
      </x:c>
      <x:c r="F95" t="n">
        <x:f>'02_Loan_Portfolio'!P95</x:f>
        <x:v>762781881377</x:v>
      </x:c>
      <x:c r="G95" t="n">
        <x:f>IF(B95=1,C95,D95)</x:f>
        <x:v>0.57</x:v>
      </x:c>
      <x:c r="H95" t="n">
        <x:f>G95*E95*F95</x:f>
        <x:v>173690354332.67776</x:v>
      </x:c>
      <x:c r="I95" t="str">
        <x:f>IF(B95=1,"12M ECL","Lifetime ECL")</x:f>
        <x:v>Lifetime ECL</x:v>
      </x:c>
    </x:row>
    <x:row r="96">
      <x:c r="A96" t="str">
        <x:f>'02_Loan_Portfolio'!A96</x:f>
        <x:v>LN00095</x:v>
      </x:c>
      <x:c r="B96" t="n">
        <x:f>'02_Loan_Portfolio'!Q96</x:f>
        <x:v>1</x:v>
      </x:c>
      <x:c r="C96" t="n">
        <x:f>'02_Loan_Portfolio'!N96</x:f>
        <x:v>0.013636</x:v>
      </x:c>
      <x:c r="D96" t="n">
        <x:f>'02_Loan_Portfolio'!R96</x:f>
        <x:v>0.020455</x:v>
      </x:c>
      <x:c r="E96" t="n">
        <x:f>'02_Loan_Portfolio'!O96</x:f>
        <x:v>0.592641</x:v>
      </x:c>
      <x:c r="F96" t="n">
        <x:f>'02_Loan_Portfolio'!P96</x:f>
        <x:v>2404806237466</x:v>
      </x:c>
      <x:c r="G96" t="n">
        <x:f>IF(B96=1,C96,D96)</x:f>
        <x:v>0.013636</x:v>
      </x:c>
      <x:c r="H96" t="n">
        <x:f>G96*E96*F96</x:f>
        <x:v>19433846841.783604</x:v>
      </x:c>
      <x:c r="I96" t="str">
        <x:f>IF(B96=1,"12M ECL","Lifetime ECL")</x:f>
        <x:v>12M ECL</x:v>
      </x:c>
    </x:row>
    <x:row r="97">
      <x:c r="A97" t="str">
        <x:f>'02_Loan_Portfolio'!A97</x:f>
        <x:v>LN00096</x:v>
      </x:c>
      <x:c r="B97" t="n">
        <x:f>'02_Loan_Portfolio'!Q97</x:f>
        <x:v>1</x:v>
      </x:c>
      <x:c r="C97" t="n">
        <x:f>'02_Loan_Portfolio'!N97</x:f>
        <x:v>0.35</x:v>
      </x:c>
      <x:c r="D97" t="n">
        <x:f>'02_Loan_Portfolio'!R97</x:f>
        <x:v>0.525</x:v>
      </x:c>
      <x:c r="E97" t="n">
        <x:f>'02_Loan_Portfolio'!O97</x:f>
        <x:v>0.567125</x:v>
      </x:c>
      <x:c r="F97" t="n">
        <x:f>'02_Loan_Portfolio'!P97</x:f>
        <x:v>468478054830</x:v>
      </x:c>
      <x:c r="G97" t="n">
        <x:f>IF(B97=1,C97,D97)</x:f>
        <x:v>0.35</x:v>
      </x:c>
      <x:c r="H97" t="n">
        <x:f>G97*E97*F97</x:f>
        <x:v>92989965895.91231</x:v>
      </x:c>
      <x:c r="I97" t="str">
        <x:f>IF(B97=1,"12M ECL","Lifetime ECL")</x:f>
        <x:v>12M ECL</x:v>
      </x:c>
    </x:row>
    <x:row r="98">
      <x:c r="A98" t="str">
        <x:f>'02_Loan_Portfolio'!A98</x:f>
        <x:v>LN00097</x:v>
      </x:c>
      <x:c r="B98" t="n">
        <x:f>'02_Loan_Portfolio'!Q98</x:f>
        <x:v>1</x:v>
      </x:c>
      <x:c r="C98" t="n">
        <x:f>'02_Loan_Portfolio'!N98</x:f>
        <x:v>0.078845</x:v>
      </x:c>
      <x:c r="D98" t="n">
        <x:f>'02_Loan_Portfolio'!R98</x:f>
        <x:v>0.118267</x:v>
      </x:c>
      <x:c r="E98" t="n">
        <x:f>'02_Loan_Portfolio'!O98</x:f>
        <x:v>0.535276</x:v>
      </x:c>
      <x:c r="F98" t="n">
        <x:f>'02_Loan_Portfolio'!P98</x:f>
        <x:v>674653845206</x:v>
      </x:c>
      <x:c r="G98" t="n">
        <x:f>IF(B98=1,C98,D98)</x:f>
        <x:v>0.078845</x:v>
      </x:c>
      <x:c r="H98" t="n">
        <x:f>G98*E98*F98</x:f>
        <x:v>28472980388.267254</x:v>
      </x:c>
      <x:c r="I98" t="str">
        <x:f>IF(B98=1,"12M ECL","Lifetime ECL")</x:f>
        <x:v>12M ECL</x:v>
      </x:c>
    </x:row>
    <x:row r="99">
      <x:c r="A99" t="str">
        <x:f>'02_Loan_Portfolio'!A99</x:f>
        <x:v>LN00098</x:v>
      </x:c>
      <x:c r="B99" t="n">
        <x:f>'02_Loan_Portfolio'!Q99</x:f>
        <x:v>1</x:v>
      </x:c>
      <x:c r="C99" t="n">
        <x:f>'02_Loan_Portfolio'!N99</x:f>
        <x:v>0.12</x:v>
      </x:c>
      <x:c r="D99" t="n">
        <x:f>'02_Loan_Portfolio'!R99</x:f>
        <x:v>0.18</x:v>
      </x:c>
      <x:c r="E99" t="n">
        <x:f>'02_Loan_Portfolio'!O99</x:f>
        <x:v>0.768276</x:v>
      </x:c>
      <x:c r="F99" t="n">
        <x:f>'02_Loan_Portfolio'!P99</x:f>
        <x:v>2330610041454</x:v>
      </x:c>
      <x:c r="G99" t="n">
        <x:f>IF(B99=1,C99,D99)</x:f>
        <x:v>0.12</x:v>
      </x:c>
      <x:c r="H99" t="n">
        <x:f>G99*E99*F99</x:f>
        <x:v>214866211224.97357</x:v>
      </x:c>
      <x:c r="I99" t="str">
        <x:f>IF(B99=1,"12M ECL","Lifetime ECL")</x:f>
        <x:v>12M ECL</x:v>
      </x:c>
    </x:row>
    <x:row r="100">
      <x:c r="A100" t="str">
        <x:f>'02_Loan_Portfolio'!A100</x:f>
        <x:v>LN00099</x:v>
      </x:c>
      <x:c r="B100" t="n">
        <x:f>'02_Loan_Portfolio'!Q100</x:f>
        <x:v>1</x:v>
      </x:c>
      <x:c r="C100" t="n">
        <x:f>'02_Loan_Portfolio'!N100</x:f>
        <x:v>0.005</x:v>
      </x:c>
      <x:c r="D100" t="n">
        <x:f>'02_Loan_Portfolio'!R100</x:f>
        <x:v>0.0075</x:v>
      </x:c>
      <x:c r="E100" t="n">
        <x:f>'02_Loan_Portfolio'!O100</x:f>
        <x:v>0.412113</x:v>
      </x:c>
      <x:c r="F100" t="n">
        <x:f>'02_Loan_Portfolio'!P100</x:f>
        <x:v>2279312257724</x:v>
      </x:c>
      <x:c r="G100" t="n">
        <x:f>IF(B100=1,C100,D100)</x:f>
        <x:v>0.005</x:v>
      </x:c>
      <x:c r="H100" t="n">
        <x:f>G100*E100*F100</x:f>
        <x:v>4696671062.337054</x:v>
      </x:c>
      <x:c r="I100" t="str">
        <x:f>IF(B100=1,"12M ECL","Lifetime ECL")</x:f>
        <x:v>12M ECL</x:v>
      </x:c>
    </x:row>
    <x:row r="101">
      <x:c r="A101" t="str">
        <x:f>'02_Loan_Portfolio'!A101</x:f>
        <x:v>LN00100</x:v>
      </x:c>
      <x:c r="B101" t="n">
        <x:f>'02_Loan_Portfolio'!Q101</x:f>
        <x:v>1</x:v>
      </x:c>
      <x:c r="C101" t="n">
        <x:f>'02_Loan_Portfolio'!N101</x:f>
        <x:v>0.057036</x:v>
      </x:c>
      <x:c r="D101" t="n">
        <x:f>'02_Loan_Portfolio'!R101</x:f>
        <x:v>0.085554</x:v>
      </x:c>
      <x:c r="E101" t="n">
        <x:f>'02_Loan_Portfolio'!O101</x:f>
        <x:v>0.481713</x:v>
      </x:c>
      <x:c r="F101" t="n">
        <x:f>'02_Loan_Portfolio'!P101</x:f>
        <x:v>2374380377484</x:v>
      </x:c>
      <x:c r="G101" t="n">
        <x:f>IF(B101=1,C101,D101)</x:f>
        <x:v>0.057036</x:v>
      </x:c>
      <x:c r="H101" t="n">
        <x:f>G101*E101*F101</x:f>
        <x:v>65236059718.6122</x:v>
      </x:c>
      <x:c r="I101" t="str">
        <x:f>IF(B101=1,"12M ECL","Lifetime ECL")</x:f>
        <x:v>12M ECL</x:v>
      </x:c>
    </x:row>
    <x:row r="102">
      <x:c r="A102" t="str">
        <x:f>'02_Loan_Portfolio'!A102</x:f>
        <x:v>LN00101</x:v>
      </x:c>
      <x:c r="B102" t="n">
        <x:f>'02_Loan_Portfolio'!Q102</x:f>
        <x:v>1</x:v>
      </x:c>
      <x:c r="C102" t="n">
        <x:f>'02_Loan_Portfolio'!N102</x:f>
        <x:v>0.03125</x:v>
      </x:c>
      <x:c r="D102" t="n">
        <x:f>'02_Loan_Portfolio'!R102</x:f>
        <x:v>0.046875</x:v>
      </x:c>
      <x:c r="E102" t="n">
        <x:f>'02_Loan_Portfolio'!O102</x:f>
        <x:v>0.3025</x:v>
      </x:c>
      <x:c r="F102" t="n">
        <x:f>'02_Loan_Portfolio'!P102</x:f>
        <x:v>1701626441218</x:v>
      </x:c>
      <x:c r="G102" t="n">
        <x:f>IF(B102=1,C102,D102)</x:f>
        <x:v>0.03125</x:v>
      </x:c>
      <x:c r="H102" t="n">
        <x:f>G102*E102*F102</x:f>
        <x:v>16085687452.138906</x:v>
      </x:c>
      <x:c r="I102" t="str">
        <x:f>IF(B102=1,"12M ECL","Lifetime ECL")</x:f>
        <x:v>12M ECL</x:v>
      </x:c>
    </x:row>
    <x:row r="103">
      <x:c r="A103" t="str">
        <x:f>'02_Loan_Portfolio'!A103</x:f>
        <x:v>LN00102</x:v>
      </x:c>
      <x:c r="B103" t="n">
        <x:f>'02_Loan_Portfolio'!Q103</x:f>
        <x:v>2</x:v>
      </x:c>
      <x:c r="C103" t="n">
        <x:f>'02_Loan_Portfolio'!N103</x:f>
        <x:v>0.033864</x:v>
      </x:c>
      <x:c r="D103" t="n">
        <x:f>'02_Loan_Portfolio'!R103</x:f>
        <x:v>0.101592</x:v>
      </x:c>
      <x:c r="E103" t="n">
        <x:f>'02_Loan_Portfolio'!O103</x:f>
        <x:v>0.50192</x:v>
      </x:c>
      <x:c r="F103" t="n">
        <x:f>'02_Loan_Portfolio'!P103</x:f>
        <x:v>2093345652612</x:v>
      </x:c>
      <x:c r="G103" t="n">
        <x:f>IF(B103=1,C103,D103)</x:f>
        <x:v>0.101592</x:v>
      </x:c>
      <x:c r="H103" t="n">
        <x:f>G103*E103*F103</x:f>
        <x:v>106741906739.43626</x:v>
      </x:c>
      <x:c r="I103" t="str">
        <x:f>IF(B103=1,"12M ECL","Lifetime ECL")</x:f>
        <x:v>Lifetime ECL</x:v>
      </x:c>
    </x:row>
    <x:row r="104">
      <x:c r="A104" t="str">
        <x:f>'02_Loan_Portfolio'!A104</x:f>
        <x:v>LN00103</x:v>
      </x:c>
      <x:c r="B104" t="n">
        <x:f>'02_Loan_Portfolio'!Q104</x:f>
        <x:v>1</x:v>
      </x:c>
      <x:c r="C104" t="n">
        <x:f>'02_Loan_Portfolio'!N104</x:f>
        <x:v>0.03125</x:v>
      </x:c>
      <x:c r="D104" t="n">
        <x:f>'02_Loan_Portfolio'!R104</x:f>
        <x:v>0.046875</x:v>
      </x:c>
      <x:c r="E104" t="n">
        <x:f>'02_Loan_Portfolio'!O104</x:f>
        <x:v>0.515702</x:v>
      </x:c>
      <x:c r="F104" t="n">
        <x:f>'02_Loan_Portfolio'!P104</x:f>
        <x:v>428082034485</x:v>
      </x:c>
      <x:c r="G104" t="n">
        <x:f>IF(B104=1,C104,D104)</x:f>
        <x:v>0.03125</x:v>
      </x:c>
      <x:c r="H104" t="n">
        <x:f>G104*E104*F104</x:f>
        <x:v>6898836292.124483</x:v>
      </x:c>
      <x:c r="I104" t="str">
        <x:f>IF(B104=1,"12M ECL","Lifetime ECL")</x:f>
        <x:v>12M ECL</x:v>
      </x:c>
    </x:row>
    <x:row r="105">
      <x:c r="A105" t="str">
        <x:f>'02_Loan_Portfolio'!A105</x:f>
        <x:v>LN00104</x:v>
      </x:c>
      <x:c r="B105" t="n">
        <x:f>'02_Loan_Portfolio'!Q105</x:f>
        <x:v>1</x:v>
      </x:c>
      <x:c r="C105" t="n">
        <x:f>'02_Loan_Portfolio'!N105</x:f>
        <x:v>0.06875</x:v>
      </x:c>
      <x:c r="D105" t="n">
        <x:f>'02_Loan_Portfolio'!R105</x:f>
        <x:v>0.103125</x:v>
      </x:c>
      <x:c r="E105" t="n">
        <x:f>'02_Loan_Portfolio'!O105</x:f>
        <x:v>0.686957</x:v>
      </x:c>
      <x:c r="F105" t="n">
        <x:f>'02_Loan_Portfolio'!P105</x:f>
        <x:v>1773884345856</x:v>
      </x:c>
      <x:c r="G105" t="n">
        <x:f>IF(B105=1,C105,D105)</x:f>
        <x:v>0.06875</x:v>
      </x:c>
      <x:c r="H105" t="n">
        <x:f>G105*E105*F105</x:f>
        <x:v>83777530964.61377</x:v>
      </x:c>
      <x:c r="I105" t="str">
        <x:f>IF(B105=1,"12M ECL","Lifetime ECL")</x:f>
        <x:v>12M ECL</x:v>
      </x:c>
    </x:row>
    <x:row r="106">
      <x:c r="A106" t="str">
        <x:f>'02_Loan_Portfolio'!A106</x:f>
        <x:v>LN00105</x:v>
      </x:c>
      <x:c r="B106" t="n">
        <x:f>'02_Loan_Portfolio'!Q106</x:f>
        <x:v>1</x:v>
      </x:c>
      <x:c r="C106" t="n">
        <x:f>'02_Loan_Portfolio'!N106</x:f>
        <x:v>0.178561</x:v>
      </x:c>
      <x:c r="D106" t="n">
        <x:f>'02_Loan_Portfolio'!R106</x:f>
        <x:v>0.267841</x:v>
      </x:c>
      <x:c r="E106" t="n">
        <x:f>'02_Loan_Portfolio'!O106</x:f>
        <x:v>0.323921</x:v>
      </x:c>
      <x:c r="F106" t="n">
        <x:f>'02_Loan_Portfolio'!P106</x:f>
        <x:v>148594887271</x:v>
      </x:c>
      <x:c r="G106" t="n">
        <x:f>IF(B106=1,C106,D106)</x:f>
        <x:v>0.178561</x:v>
      </x:c>
      <x:c r="H106" t="n">
        <x:f>G106*E106*F106</x:f>
        <x:v>8594677412.901424</x:v>
      </x:c>
      <x:c r="I106" t="str">
        <x:f>IF(B106=1,"12M ECL","Lifetime ECL")</x:f>
        <x:v>12M ECL</x:v>
      </x:c>
    </x:row>
    <x:row r="107">
      <x:c r="A107" t="str">
        <x:f>'02_Loan_Portfolio'!A107</x:f>
        <x:v>LN00106</x:v>
      </x:c>
      <x:c r="B107" t="n">
        <x:f>'02_Loan_Portfolio'!Q107</x:f>
        <x:v>2</x:v>
      </x:c>
      <x:c r="C107" t="n">
        <x:f>'02_Loan_Portfolio'!N107</x:f>
        <x:v>0.125929</x:v>
      </x:c>
      <x:c r="D107" t="n">
        <x:f>'02_Loan_Portfolio'!R107</x:f>
        <x:v>0.377786</x:v>
      </x:c>
      <x:c r="E107" t="n">
        <x:f>'02_Loan_Portfolio'!O107</x:f>
        <x:v>0.358998</x:v>
      </x:c>
      <x:c r="F107" t="n">
        <x:f>'02_Loan_Portfolio'!P107</x:f>
        <x:v>506805984064</x:v>
      </x:c>
      <x:c r="G107" t="n">
        <x:f>IF(B107=1,C107,D107)</x:f>
        <x:v>0.377786</x:v>
      </x:c>
      <x:c r="H107" t="n">
        <x:f>G107*E107*F107</x:f>
        <x:v>68735266844.51024</x:v>
      </x:c>
      <x:c r="I107" t="str">
        <x:f>IF(B107=1,"12M ECL","Lifetime ECL")</x:f>
        <x:v>Lifetime ECL</x:v>
      </x:c>
    </x:row>
    <x:row r="108">
      <x:c r="A108" t="str">
        <x:f>'02_Loan_Portfolio'!A108</x:f>
        <x:v>LN00107</x:v>
      </x:c>
      <x:c r="B108" t="n">
        <x:f>'02_Loan_Portfolio'!Q108</x:f>
        <x:v>1</x:v>
      </x:c>
      <x:c r="C108" t="n">
        <x:f>'02_Loan_Portfolio'!N108</x:f>
        <x:v>0.013698</x:v>
      </x:c>
      <x:c r="D108" t="n">
        <x:f>'02_Loan_Portfolio'!R108</x:f>
        <x:v>0.020547</x:v>
      </x:c>
      <x:c r="E108" t="n">
        <x:f>'02_Loan_Portfolio'!O108</x:f>
        <x:v>0.725253</x:v>
      </x:c>
      <x:c r="F108" t="n">
        <x:f>'02_Loan_Portfolio'!P108</x:f>
        <x:v>1606494063298</x:v>
      </x:c>
      <x:c r="G108" t="n">
        <x:f>IF(B108=1,C108,D108)</x:f>
        <x:v>0.013698</x:v>
      </x:c>
      <x:c r="H108" t="n">
        <x:f>G108*E108*F108</x:f>
        <x:v>15959740323.502403</x:v>
      </x:c>
      <x:c r="I108" t="str">
        <x:f>IF(B108=1,"12M ECL","Lifetime ECL")</x:f>
        <x:v>12M ECL</x:v>
      </x:c>
    </x:row>
    <x:row r="109">
      <x:c r="A109" t="str">
        <x:f>'02_Loan_Portfolio'!A109</x:f>
        <x:v>LN00108</x:v>
      </x:c>
      <x:c r="B109" t="n">
        <x:f>'02_Loan_Portfolio'!Q109</x:f>
        <x:v>2</x:v>
      </x:c>
      <x:c r="C109" t="n">
        <x:f>'02_Loan_Portfolio'!N109</x:f>
        <x:v>0.443333</x:v>
      </x:c>
      <x:c r="D109" t="n">
        <x:f>'02_Loan_Portfolio'!R109</x:f>
        <x:v>0.99</x:v>
      </x:c>
      <x:c r="E109" t="n">
        <x:f>'02_Loan_Portfolio'!O109</x:f>
        <x:v>0.639503</x:v>
      </x:c>
      <x:c r="F109" t="n">
        <x:f>'02_Loan_Portfolio'!P109</x:f>
        <x:v>116080789809</x:v>
      </x:c>
      <x:c r="G109" t="n">
        <x:f>IF(B109=1,C109,D109)</x:f>
        <x:v>0.99</x:v>
      </x:c>
      <x:c r="H109" t="n">
        <x:f>G109*E109*F109</x:f>
        <x:v>73491673191.97269</x:v>
      </x:c>
      <x:c r="I109" t="str">
        <x:f>IF(B109=1,"12M ECL","Lifetime ECL")</x:f>
        <x:v>Lifetime ECL</x:v>
      </x:c>
    </x:row>
    <x:row r="110">
      <x:c r="A110" t="str">
        <x:f>'02_Loan_Portfolio'!A110</x:f>
        <x:v>LN00109</x:v>
      </x:c>
      <x:c r="B110" t="n">
        <x:f>'02_Loan_Portfolio'!Q110</x:f>
        <x:v>1</x:v>
      </x:c>
      <x:c r="C110" t="n">
        <x:f>'02_Loan_Portfolio'!N110</x:f>
        <x:v>0.027083</x:v>
      </x:c>
      <x:c r="D110" t="n">
        <x:f>'02_Loan_Portfolio'!R110</x:f>
        <x:v>0.040625</x:v>
      </x:c>
      <x:c r="E110" t="n">
        <x:f>'02_Loan_Portfolio'!O110</x:f>
        <x:v>0.429583</x:v>
      </x:c>
      <x:c r="F110" t="n">
        <x:f>'02_Loan_Portfolio'!P110</x:f>
        <x:v>684011752083</x:v>
      </x:c>
      <x:c r="G110" t="n">
        <x:f>IF(B110=1,C110,D110)</x:f>
        <x:v>0.027083</x:v>
      </x:c>
      <x:c r="H110" t="n">
        <x:f>G110*E110*F110</x:f>
        <x:v>7958063858.468018</x:v>
      </x:c>
      <x:c r="I110" t="str">
        <x:f>IF(B110=1,"12M ECL","Lifetime ECL")</x:f>
        <x:v>12M ECL</x:v>
      </x:c>
    </x:row>
    <x:row r="111">
      <x:c r="A111" t="str">
        <x:f>'02_Loan_Portfolio'!A111</x:f>
        <x:v>LN00110</x:v>
      </x:c>
      <x:c r="B111" t="n">
        <x:f>'02_Loan_Portfolio'!Q111</x:f>
        <x:v>1</x:v>
      </x:c>
      <x:c r="C111" t="n">
        <x:f>'02_Loan_Portfolio'!N111</x:f>
        <x:v>0.162958</x:v>
      </x:c>
      <x:c r="D111" t="n">
        <x:f>'02_Loan_Portfolio'!R111</x:f>
        <x:v>0.244437</x:v>
      </x:c>
      <x:c r="E111" t="n">
        <x:f>'02_Loan_Portfolio'!O111</x:f>
        <x:v>0.312949</x:v>
      </x:c>
      <x:c r="F111" t="n">
        <x:f>'02_Loan_Portfolio'!P111</x:f>
        <x:v>692459196847</x:v>
      </x:c>
      <x:c r="G111" t="n">
        <x:f>IF(B111=1,C111,D111)</x:f>
        <x:v>0.162958</x:v>
      </x:c>
      <x:c r="H111" t="n">
        <x:f>G111*E111*F111</x:f>
        <x:v>35313717765.27955</x:v>
      </x:c>
      <x:c r="I111" t="str">
        <x:f>IF(B111=1,"12M ECL","Lifetime ECL")</x:f>
        <x:v>12M ECL</x:v>
      </x:c>
    </x:row>
    <x:row r="112">
      <x:c r="A112" t="str">
        <x:f>'02_Loan_Portfolio'!A112</x:f>
        <x:v>LN00111</x:v>
      </x:c>
      <x:c r="B112" t="n">
        <x:f>'02_Loan_Portfolio'!Q112</x:f>
        <x:v>1</x:v>
      </x:c>
      <x:c r="C112" t="n">
        <x:f>'02_Loan_Portfolio'!N112</x:f>
        <x:v>0.382132</x:v>
      </x:c>
      <x:c r="D112" t="n">
        <x:f>'02_Loan_Portfolio'!R112</x:f>
        <x:v>0.573198</x:v>
      </x:c>
      <x:c r="E112" t="n">
        <x:f>'02_Loan_Portfolio'!O112</x:f>
        <x:v>0.504962</x:v>
      </x:c>
      <x:c r="F112" t="n">
        <x:f>'02_Loan_Portfolio'!P112</x:f>
        <x:v>2759793582212</x:v>
      </x:c>
      <x:c r="G112" t="n">
        <x:f>IF(B112=1,C112,D112)</x:f>
        <x:v>0.382132</x:v>
      </x:c>
      <x:c r="H112" t="n">
        <x:f>G112*E112*F112</x:f>
        <x:v>532535672777.94324</x:v>
      </x:c>
      <x:c r="I112" t="str">
        <x:f>IF(B112=1,"12M ECL","Lifetime ECL")</x:f>
        <x:v>12M ECL</x:v>
      </x:c>
    </x:row>
    <x:row r="113">
      <x:c r="A113" t="str">
        <x:f>'02_Loan_Portfolio'!A113</x:f>
        <x:v>LN00112</x:v>
      </x:c>
      <x:c r="B113" t="n">
        <x:f>'02_Loan_Portfolio'!Q113</x:f>
        <x:v>2</x:v>
      </x:c>
      <x:c r="C113" t="n">
        <x:f>'02_Loan_Portfolio'!N113</x:f>
        <x:v>0.010417</x:v>
      </x:c>
      <x:c r="D113" t="n">
        <x:f>'02_Loan_Portfolio'!R113</x:f>
        <x:v>0.03125</x:v>
      </x:c>
      <x:c r="E113" t="n">
        <x:f>'02_Loan_Portfolio'!O113</x:f>
        <x:v>0.453592</x:v>
      </x:c>
      <x:c r="F113" t="n">
        <x:f>'02_Loan_Portfolio'!P113</x:f>
        <x:v>2520841281384</x:v>
      </x:c>
      <x:c r="G113" t="n">
        <x:f>IF(B113=1,C113,D113)</x:f>
        <x:v>0.03125</x:v>
      </x:c>
      <x:c r="H113" t="n">
        <x:f>G113*E113*F113</x:f>
        <x:v>35732294953.29785</x:v>
      </x:c>
      <x:c r="I113" t="str">
        <x:f>IF(B113=1,"12M ECL","Lifetime ECL")</x:f>
        <x:v>Lifetime ECL</x:v>
      </x:c>
    </x:row>
    <x:row r="114">
      <x:c r="A114" t="str">
        <x:f>'02_Loan_Portfolio'!A114</x:f>
        <x:v>LN00113</x:v>
      </x:c>
      <x:c r="B114" t="n">
        <x:f>'02_Loan_Portfolio'!Q114</x:f>
        <x:v>1</x:v>
      </x:c>
      <x:c r="C114" t="n">
        <x:f>'02_Loan_Portfolio'!N114</x:f>
        <x:v>0.034225</x:v>
      </x:c>
      <x:c r="D114" t="n">
        <x:f>'02_Loan_Portfolio'!R114</x:f>
        <x:v>0.051337</x:v>
      </x:c>
      <x:c r="E114" t="n">
        <x:f>'02_Loan_Portfolio'!O114</x:f>
        <x:v>0.52657</x:v>
      </x:c>
      <x:c r="F114" t="n">
        <x:f>'02_Loan_Portfolio'!P114</x:f>
        <x:v>2150945182972</x:v>
      </x:c>
      <x:c r="G114" t="n">
        <x:f>IF(B114=1,C114,D114)</x:f>
        <x:v>0.034225</x:v>
      </x:c>
      <x:c r="H114" t="n">
        <x:f>G114*E114*F114</x:f>
        <x:v>38764029191.041695</x:v>
      </x:c>
      <x:c r="I114" t="str">
        <x:f>IF(B114=1,"12M ECL","Lifetime ECL")</x:f>
        <x:v>12M ECL</x:v>
      </x:c>
    </x:row>
    <x:row r="115">
      <x:c r="A115" t="str">
        <x:f>'02_Loan_Portfolio'!A115</x:f>
        <x:v>LN00114</x:v>
      </x:c>
      <x:c r="B115" t="n">
        <x:f>'02_Loan_Portfolio'!Q115</x:f>
        <x:v>2</x:v>
      </x:c>
      <x:c r="C115" t="n">
        <x:f>'02_Loan_Portfolio'!N115</x:f>
        <x:v>0.044187</x:v>
      </x:c>
      <x:c r="D115" t="n">
        <x:f>'02_Loan_Portfolio'!R115</x:f>
        <x:v>0.132562</x:v>
      </x:c>
      <x:c r="E115" t="n">
        <x:f>'02_Loan_Portfolio'!O115</x:f>
        <x:v>0.542656</x:v>
      </x:c>
      <x:c r="F115" t="n">
        <x:f>'02_Loan_Portfolio'!P115</x:f>
        <x:v>589089710429</x:v>
      </x:c>
      <x:c r="G115" t="n">
        <x:f>IF(B115=1,C115,D115)</x:f>
        <x:v>0.132562</x:v>
      </x:c>
      <x:c r="H115" t="n">
        <x:f>G115*E115*F115</x:f>
        <x:v>42376500962.17509</x:v>
      </x:c>
      <x:c r="I115" t="str">
        <x:f>IF(B115=1,"12M ECL","Lifetime ECL")</x:f>
        <x:v>Lifetime ECL</x:v>
      </x:c>
    </x:row>
    <x:row r="116">
      <x:c r="A116" t="str">
        <x:f>'02_Loan_Portfolio'!A116</x:f>
        <x:v>LN00115</x:v>
      </x:c>
      <x:c r="B116" t="n">
        <x:f>'02_Loan_Portfolio'!Q116</x:f>
        <x:v>1</x:v>
      </x:c>
      <x:c r="C116" t="n">
        <x:f>'02_Loan_Portfolio'!N116</x:f>
        <x:v>0.030292</x:v>
      </x:c>
      <x:c r="D116" t="n">
        <x:f>'02_Loan_Portfolio'!R116</x:f>
        <x:v>0.045438</x:v>
      </x:c>
      <x:c r="E116" t="n">
        <x:f>'02_Loan_Portfolio'!O116</x:f>
        <x:v>0.392049</x:v>
      </x:c>
      <x:c r="F116" t="n">
        <x:f>'02_Loan_Portfolio'!P116</x:f>
        <x:v>2085832694736</x:v>
      </x:c>
      <x:c r="G116" t="n">
        <x:f>IF(B116=1,C116,D116)</x:f>
        <x:v>0.030292</x:v>
      </x:c>
      <x:c r="H116" t="n">
        <x:f>G116*E116*F116</x:f>
        <x:v>24771241261.82108</x:v>
      </x:c>
      <x:c r="I116" t="str">
        <x:f>IF(B116=1,"12M ECL","Lifetime ECL")</x:f>
        <x:v>12M ECL</x:v>
      </x:c>
    </x:row>
    <x:row r="117">
      <x:c r="A117" t="str">
        <x:f>'02_Loan_Portfolio'!A117</x:f>
        <x:v>LN00116</x:v>
      </x:c>
      <x:c r="B117" t="n">
        <x:f>'02_Loan_Portfolio'!Q117</x:f>
        <x:v>1</x:v>
      </x:c>
      <x:c r="C117" t="n">
        <x:f>'02_Loan_Portfolio'!N117</x:f>
        <x:v>0.057926</x:v>
      </x:c>
      <x:c r="D117" t="n">
        <x:f>'02_Loan_Portfolio'!R117</x:f>
        <x:v>0.086889</x:v>
      </x:c>
      <x:c r="E117" t="n">
        <x:f>'02_Loan_Portfolio'!O117</x:f>
        <x:v>0.537376</x:v>
      </x:c>
      <x:c r="F117" t="n">
        <x:f>'02_Loan_Portfolio'!P117</x:f>
        <x:v>3177268965950</x:v>
      </x:c>
      <x:c r="G117" t="n">
        <x:f>IF(B117=1,C117,D117)</x:f>
        <x:v>0.057926</x:v>
      </x:c>
      <x:c r="H117" t="n">
        <x:f>G117*E117*F117</x:f>
        <x:v>98902162376.5875</x:v>
      </x:c>
      <x:c r="I117" t="str">
        <x:f>IF(B117=1,"12M ECL","Lifetime ECL")</x:f>
        <x:v>12M ECL</x:v>
      </x:c>
    </x:row>
    <x:row r="118">
      <x:c r="A118" t="str">
        <x:f>'02_Loan_Portfolio'!A118</x:f>
        <x:v>LN00117</x:v>
      </x:c>
      <x:c r="B118" t="n">
        <x:f>'02_Loan_Portfolio'!Q118</x:f>
        <x:v>1</x:v>
      </x:c>
      <x:c r="C118" t="n">
        <x:f>'02_Loan_Portfolio'!N118</x:f>
        <x:v>0.055</x:v>
      </x:c>
      <x:c r="D118" t="n">
        <x:f>'02_Loan_Portfolio'!R118</x:f>
        <x:v>0.0825</x:v>
      </x:c>
      <x:c r="E118" t="n">
        <x:f>'02_Loan_Portfolio'!O118</x:f>
        <x:v>0.379574</x:v>
      </x:c>
      <x:c r="F118" t="n">
        <x:f>'02_Loan_Portfolio'!P118</x:f>
        <x:v>621847385683</x:v>
      </x:c>
      <x:c r="G118" t="n">
        <x:f>IF(B118=1,C118,D118)</x:f>
        <x:v>0.055</x:v>
      </x:c>
      <x:c r="H118" t="n">
        <x:f>G118*E118*F118</x:f>
        <x:v>12982040476.528147</x:v>
      </x:c>
      <x:c r="I118" t="str">
        <x:f>IF(B118=1,"12M ECL","Lifetime ECL")</x:f>
        <x:v>12M ECL</x:v>
      </x:c>
    </x:row>
    <x:row r="119">
      <x:c r="A119" t="str">
        <x:f>'02_Loan_Portfolio'!A119</x:f>
        <x:v>LN00118</x:v>
      </x:c>
      <x:c r="B119" t="n">
        <x:f>'02_Loan_Portfolio'!Q119</x:f>
        <x:v>1</x:v>
      </x:c>
      <x:c r="C119" t="n">
        <x:f>'02_Loan_Portfolio'!N119</x:f>
        <x:v>0.039332</x:v>
      </x:c>
      <x:c r="D119" t="n">
        <x:f>'02_Loan_Portfolio'!R119</x:f>
        <x:v>0.058998</x:v>
      </x:c>
      <x:c r="E119" t="n">
        <x:f>'02_Loan_Portfolio'!O119</x:f>
        <x:v>0.500883</x:v>
      </x:c>
      <x:c r="F119" t="n">
        <x:f>'02_Loan_Portfolio'!P119</x:f>
        <x:v>2884497805866</x:v>
      </x:c>
      <x:c r="G119" t="n">
        <x:f>IF(B119=1,C119,D119)</x:f>
        <x:v>0.039332</x:v>
      </x:c>
      <x:c r="H119" t="n">
        <x:f>G119*E119*F119</x:f>
        <x:v>56826712908.94013</x:v>
      </x:c>
      <x:c r="I119" t="str">
        <x:f>IF(B119=1,"12M ECL","Lifetime ECL")</x:f>
        <x:v>12M ECL</x:v>
      </x:c>
    </x:row>
    <x:row r="120">
      <x:c r="A120" t="str">
        <x:f>'02_Loan_Portfolio'!A120</x:f>
        <x:v>LN00119</x:v>
      </x:c>
      <x:c r="B120" t="n">
        <x:f>'02_Loan_Portfolio'!Q120</x:f>
        <x:v>1</x:v>
      </x:c>
      <x:c r="C120" t="n">
        <x:f>'02_Loan_Portfolio'!N120</x:f>
        <x:v>0.073039</x:v>
      </x:c>
      <x:c r="D120" t="n">
        <x:f>'02_Loan_Portfolio'!R120</x:f>
        <x:v>0.109558</x:v>
      </x:c>
      <x:c r="E120" t="n">
        <x:f>'02_Loan_Portfolio'!O120</x:f>
        <x:v>0.476566</x:v>
      </x:c>
      <x:c r="F120" t="n">
        <x:f>'02_Loan_Portfolio'!P120</x:f>
        <x:v>2483038755184</x:v>
      </x:c>
      <x:c r="G120" t="n">
        <x:f>IF(B120=1,C120,D120)</x:f>
        <x:v>0.073039</x:v>
      </x:c>
      <x:c r="H120" t="n">
        <x:f>G120*E120*F120</x:f>
        <x:v>86429374802.46904</x:v>
      </x:c>
      <x:c r="I120" t="str">
        <x:f>IF(B120=1,"12M ECL","Lifetime ECL")</x:f>
        <x:v>12M ECL</x:v>
      </x:c>
    </x:row>
    <x:row r="121">
      <x:c r="A121" t="str">
        <x:f>'02_Loan_Portfolio'!A121</x:f>
        <x:v>LN00120</x:v>
      </x:c>
      <x:c r="B121" t="n">
        <x:f>'02_Loan_Portfolio'!Q121</x:f>
        <x:v>2</x:v>
      </x:c>
      <x:c r="C121" t="n">
        <x:f>'02_Loan_Portfolio'!N121</x:f>
        <x:v>0.040906</x:v>
      </x:c>
      <x:c r="D121" t="n">
        <x:f>'02_Loan_Portfolio'!R121</x:f>
        <x:v>0.122718</x:v>
      </x:c>
      <x:c r="E121" t="n">
        <x:f>'02_Loan_Portfolio'!O121</x:f>
        <x:v>0.43979</x:v>
      </x:c>
      <x:c r="F121" t="n">
        <x:f>'02_Loan_Portfolio'!P121</x:f>
        <x:v>2392319543779</x:v>
      </x:c>
      <x:c r="G121" t="n">
        <x:f>IF(B121=1,C121,D121)</x:f>
        <x:v>0.122718</x:v>
      </x:c>
      <x:c r="H121" t="n">
        <x:f>G121*E121*F121</x:f>
        <x:v>129113842759.67496</x:v>
      </x:c>
      <x:c r="I121" t="str">
        <x:f>IF(B121=1,"12M ECL","Lifetime ECL")</x:f>
        <x:v>Lifetime ECL</x:v>
      </x:c>
    </x:row>
    <x:row r="122">
      <x:c r="A122" t="str">
        <x:f>'02_Loan_Portfolio'!A122</x:f>
        <x:v>LN00121</x:v>
      </x:c>
      <x:c r="B122" t="n">
        <x:f>'02_Loan_Portfolio'!Q122</x:f>
        <x:v>2</x:v>
      </x:c>
      <x:c r="C122" t="n">
        <x:f>'02_Loan_Portfolio'!N122</x:f>
        <x:v>0.048274</x:v>
      </x:c>
      <x:c r="D122" t="n">
        <x:f>'02_Loan_Portfolio'!R122</x:f>
        <x:v>0.144823</x:v>
      </x:c>
      <x:c r="E122" t="n">
        <x:f>'02_Loan_Portfolio'!O122</x:f>
        <x:v>0.487049</x:v>
      </x:c>
      <x:c r="F122" t="n">
        <x:f>'02_Loan_Portfolio'!P122</x:f>
        <x:v>1833930873216</x:v>
      </x:c>
      <x:c r="G122" t="n">
        <x:f>IF(B122=1,C122,D122)</x:f>
        <x:v>0.144823</x:v>
      </x:c>
      <x:c r="H122" t="n">
        <x:f>G122*E122*F122</x:f>
        <x:v>129357959777.97925</x:v>
      </x:c>
      <x:c r="I122" t="str">
        <x:f>IF(B122=1,"12M ECL","Lifetime ECL")</x:f>
        <x:v>Lifetime ECL</x:v>
      </x:c>
    </x:row>
    <x:row r="123">
      <x:c r="A123" t="str">
        <x:f>'02_Loan_Portfolio'!A123</x:f>
        <x:v>LN00122</x:v>
      </x:c>
      <x:c r="B123" t="n">
        <x:f>'02_Loan_Portfolio'!Q123</x:f>
        <x:v>1</x:v>
      </x:c>
      <x:c r="C123" t="n">
        <x:f>'02_Loan_Portfolio'!N123</x:f>
        <x:v>0.28</x:v>
      </x:c>
      <x:c r="D123" t="n">
        <x:f>'02_Loan_Portfolio'!R123</x:f>
        <x:v>0.42</x:v>
      </x:c>
      <x:c r="E123" t="n">
        <x:f>'02_Loan_Portfolio'!O123</x:f>
        <x:v>0.466095</x:v>
      </x:c>
      <x:c r="F123" t="n">
        <x:f>'02_Loan_Portfolio'!P123</x:f>
        <x:v>2506721391556</x:v>
      </x:c>
      <x:c r="G123" t="n">
        <x:f>IF(B123=1,C123,D123)</x:f>
        <x:v>0.28</x:v>
      </x:c>
      <x:c r="H123" t="n">
        <x:f>G123*E123*F123</x:f>
        <x:v>327143685959.24225</x:v>
      </x:c>
      <x:c r="I123" t="str">
        <x:f>IF(B123=1,"12M ECL","Lifetime ECL")</x:f>
        <x:v>12M ECL</x:v>
      </x:c>
    </x:row>
    <x:row r="124">
      <x:c r="A124" t="str">
        <x:f>'02_Loan_Portfolio'!A124</x:f>
        <x:v>LN00123</x:v>
      </x:c>
      <x:c r="B124" t="n">
        <x:f>'02_Loan_Portfolio'!Q124</x:f>
        <x:v>1</x:v>
      </x:c>
      <x:c r="C124" t="n">
        <x:f>'02_Loan_Portfolio'!N124</x:f>
        <x:v>0.025</x:v>
      </x:c>
      <x:c r="D124" t="n">
        <x:f>'02_Loan_Portfolio'!R124</x:f>
        <x:v>0.0375</x:v>
      </x:c>
      <x:c r="E124" t="n">
        <x:f>'02_Loan_Portfolio'!O124</x:f>
        <x:v>0.667661</x:v>
      </x:c>
      <x:c r="F124" t="n">
        <x:f>'02_Loan_Portfolio'!P124</x:f>
        <x:v>1049245530599</x:v>
      </x:c>
      <x:c r="G124" t="n">
        <x:f>IF(B124=1,C124,D124)</x:f>
        <x:v>0.025</x:v>
      </x:c>
      <x:c r="H124" t="n">
        <x:f>G124*E124*F124</x:f>
        <x:v>17513508005.131474</x:v>
      </x:c>
      <x:c r="I124" t="str">
        <x:f>IF(B124=1,"12M ECL","Lifetime ECL")</x:f>
        <x:v>12M ECL</x:v>
      </x:c>
    </x:row>
    <x:row r="125">
      <x:c r="A125" t="str">
        <x:f>'02_Loan_Portfolio'!A125</x:f>
        <x:v>LN00124</x:v>
      </x:c>
      <x:c r="B125" t="n">
        <x:f>'02_Loan_Portfolio'!Q125</x:f>
        <x:v>1</x:v>
      </x:c>
      <x:c r="C125" t="n">
        <x:f>'02_Loan_Portfolio'!N125</x:f>
        <x:v>0.03125</x:v>
      </x:c>
      <x:c r="D125" t="n">
        <x:f>'02_Loan_Portfolio'!R125</x:f>
        <x:v>0.046875</x:v>
      </x:c>
      <x:c r="E125" t="n">
        <x:f>'02_Loan_Portfolio'!O125</x:f>
        <x:v>0.490741</x:v>
      </x:c>
      <x:c r="F125" t="n">
        <x:f>'02_Loan_Portfolio'!P125</x:f>
        <x:v>2968637448656</x:v>
      </x:c>
      <x:c r="G125" t="n">
        <x:f>IF(B125=1,C125,D125)</x:f>
        <x:v>0.03125</x:v>
      </x:c>
      <x:c r="H125" t="n">
        <x:f>G125*E125*F125</x:f>
        <x:v>45526003443.46544</x:v>
      </x:c>
      <x:c r="I125" t="str">
        <x:f>IF(B125=1,"12M ECL","Lifetime ECL")</x:f>
        <x:v>12M ECL</x:v>
      </x:c>
    </x:row>
    <x:row r="126">
      <x:c r="A126" t="str">
        <x:f>'02_Loan_Portfolio'!A126</x:f>
        <x:v>LN00125</x:v>
      </x:c>
      <x:c r="B126" t="n">
        <x:f>'02_Loan_Portfolio'!Q126</x:f>
        <x:v>2</x:v>
      </x:c>
      <x:c r="C126" t="n">
        <x:f>'02_Loan_Portfolio'!N126</x:f>
        <x:v>0.019747</x:v>
      </x:c>
      <x:c r="D126" t="n">
        <x:f>'02_Loan_Portfolio'!R126</x:f>
        <x:v>0.059241</x:v>
      </x:c>
      <x:c r="E126" t="n">
        <x:f>'02_Loan_Portfolio'!O126</x:f>
        <x:v>0.48526</x:v>
      </x:c>
      <x:c r="F126" t="n">
        <x:f>'02_Loan_Portfolio'!P126</x:f>
        <x:v>3192251508748</x:v>
      </x:c>
      <x:c r="G126" t="n">
        <x:f>IF(B126=1,C126,D126)</x:f>
        <x:v>0.059241</x:v>
      </x:c>
      <x:c r="H126" t="n">
        <x:f>G126*E126*F126</x:f>
        <x:v>91768572405.04778</x:v>
      </x:c>
      <x:c r="I126" t="str">
        <x:f>IF(B126=1,"12M ECL","Lifetime ECL")</x:f>
        <x:v>Lifetime ECL</x:v>
      </x:c>
    </x:row>
    <x:row r="127">
      <x:c r="A127" t="str">
        <x:f>'02_Loan_Portfolio'!A127</x:f>
        <x:v>LN00126</x:v>
      </x:c>
      <x:c r="B127" t="n">
        <x:f>'02_Loan_Portfolio'!Q127</x:f>
        <x:v>1</x:v>
      </x:c>
      <x:c r="C127" t="n">
        <x:f>'02_Loan_Portfolio'!N127</x:f>
        <x:v>0.07451</x:v>
      </x:c>
      <x:c r="D127" t="n">
        <x:f>'02_Loan_Portfolio'!R127</x:f>
        <x:v>0.111765</x:v>
      </x:c>
      <x:c r="E127" t="n">
        <x:f>'02_Loan_Portfolio'!O127</x:f>
        <x:v>0.565761</x:v>
      </x:c>
      <x:c r="F127" t="n">
        <x:f>'02_Loan_Portfolio'!P127</x:f>
        <x:v>1246100399557</x:v>
      </x:c>
      <x:c r="G127" t="n">
        <x:f>IF(B127=1,C127,D127)</x:f>
        <x:v>0.07451</x:v>
      </x:c>
      <x:c r="H127" t="n">
        <x:f>G127*E127*F127</x:f>
        <x:v>52529178057.53725</x:v>
      </x:c>
      <x:c r="I127" t="str">
        <x:f>IF(B127=1,"12M ECL","Lifetime ECL")</x:f>
        <x:v>12M ECL</x:v>
      </x:c>
    </x:row>
    <x:row r="128">
      <x:c r="A128" t="str">
        <x:f>'02_Loan_Portfolio'!A128</x:f>
        <x:v>LN00127</x:v>
      </x:c>
      <x:c r="B128" t="n">
        <x:f>'02_Loan_Portfolio'!Q128</x:f>
        <x:v>2</x:v>
      </x:c>
      <x:c r="C128" t="n">
        <x:f>'02_Loan_Portfolio'!N128</x:f>
        <x:v>0.194463</x:v>
      </x:c>
      <x:c r="D128" t="n">
        <x:f>'02_Loan_Portfolio'!R128</x:f>
        <x:v>0.583389</x:v>
      </x:c>
      <x:c r="E128" t="n">
        <x:f>'02_Loan_Portfolio'!O128</x:f>
        <x:v>0.522842</x:v>
      </x:c>
      <x:c r="F128" t="n">
        <x:f>'02_Loan_Portfolio'!P128</x:f>
        <x:v>2060944968085</x:v>
      </x:c>
      <x:c r="G128" t="n">
        <x:f>IF(B128=1,C128,D128)</x:f>
        <x:v>0.583389</x:v>
      </x:c>
      <x:c r="H128" t="n">
        <x:f>G128*E128*F128</x:f>
        <x:v>628629993790.1615</x:v>
      </x:c>
      <x:c r="I128" t="str">
        <x:f>IF(B128=1,"12M ECL","Lifetime ECL")</x:f>
        <x:v>Lifetime ECL</x:v>
      </x:c>
    </x:row>
    <x:row r="129">
      <x:c r="A129" t="str">
        <x:f>'02_Loan_Portfolio'!A129</x:f>
        <x:v>LN00128</x:v>
      </x:c>
      <x:c r="B129" t="n">
        <x:f>'02_Loan_Portfolio'!Q129</x:f>
        <x:v>1</x:v>
      </x:c>
      <x:c r="C129" t="n">
        <x:f>'02_Loan_Portfolio'!N129</x:f>
        <x:v>0.060549</x:v>
      </x:c>
      <x:c r="D129" t="n">
        <x:f>'02_Loan_Portfolio'!R129</x:f>
        <x:v>0.090823</x:v>
      </x:c>
      <x:c r="E129" t="n">
        <x:f>'02_Loan_Portfolio'!O129</x:f>
        <x:v>0.561245</x:v>
      </x:c>
      <x:c r="F129" t="n">
        <x:f>'02_Loan_Portfolio'!P129</x:f>
        <x:v>2393497138718</x:v>
      </x:c>
      <x:c r="G129" t="n">
        <x:f>IF(B129=1,C129,D129)</x:f>
        <x:v>0.060549</x:v>
      </x:c>
      <x:c r="H129" t="n">
        <x:f>G129*E129*F129</x:f>
        <x:v>81337790824.77629</x:v>
      </x:c>
      <x:c r="I129" t="str">
        <x:f>IF(B129=1,"12M ECL","Lifetime ECL")</x:f>
        <x:v>12M ECL</x:v>
      </x:c>
    </x:row>
    <x:row r="130">
      <x:c r="A130" t="str">
        <x:f>'02_Loan_Portfolio'!A130</x:f>
        <x:v>LN00129</x:v>
      </x:c>
      <x:c r="B130" t="n">
        <x:f>'02_Loan_Portfolio'!Q130</x:f>
        <x:v>1</x:v>
      </x:c>
      <x:c r="C130" t="n">
        <x:f>'02_Loan_Portfolio'!N130</x:f>
        <x:v>0.055</x:v>
      </x:c>
      <x:c r="D130" t="n">
        <x:f>'02_Loan_Portfolio'!R130</x:f>
        <x:v>0.0825</x:v>
      </x:c>
      <x:c r="E130" t="n">
        <x:f>'02_Loan_Portfolio'!O130</x:f>
        <x:v>0.717818</x:v>
      </x:c>
      <x:c r="F130" t="n">
        <x:f>'02_Loan_Portfolio'!P130</x:f>
        <x:v>1909402276129</x:v>
      </x:c>
      <x:c r="G130" t="n">
        <x:f>IF(B130=1,C130,D130)</x:f>
        <x:v>0.055</x:v>
      </x:c>
      <x:c r="H130" t="n">
        <x:f>G130*E130*F130</x:f>
        <x:v>75383182767.55016</x:v>
      </x:c>
      <x:c r="I130" t="str">
        <x:f>IF(B130=1,"12M ECL","Lifetime ECL")</x:f>
        <x:v>12M ECL</x:v>
      </x:c>
    </x:row>
    <x:row r="131">
      <x:c r="A131" t="str">
        <x:f>'02_Loan_Portfolio'!A131</x:f>
        <x:v>LN00130</x:v>
      </x:c>
      <x:c r="B131" t="n">
        <x:f>'02_Loan_Portfolio'!Q131</x:f>
        <x:v>2</x:v>
      </x:c>
      <x:c r="C131" t="n">
        <x:f>'02_Loan_Portfolio'!N131</x:f>
        <x:v>0.038902</x:v>
      </x:c>
      <x:c r="D131" t="n">
        <x:f>'02_Loan_Portfolio'!R131</x:f>
        <x:v>0.116705</x:v>
      </x:c>
      <x:c r="E131" t="n">
        <x:f>'02_Loan_Portfolio'!O131</x:f>
        <x:v>0.795346</x:v>
      </x:c>
      <x:c r="F131" t="n">
        <x:f>'02_Loan_Portfolio'!P131</x:f>
        <x:v>1657805362410</x:v>
      </x:c>
      <x:c r="G131" t="n">
        <x:f>IF(B131=1,C131,D131)</x:f>
        <x:v>0.116705</x:v>
      </x:c>
      <x:c r="H131" t="n">
        <x:f>G131*E131*F131</x:f>
        <x:v>153878911046.4347</x:v>
      </x:c>
      <x:c r="I131" t="str">
        <x:f>IF(B131=1,"12M ECL","Lifetime ECL")</x:f>
        <x:v>Lifetime ECL</x:v>
      </x:c>
    </x:row>
    <x:row r="132">
      <x:c r="A132" t="str">
        <x:f>'02_Loan_Portfolio'!A132</x:f>
        <x:v>LN00131</x:v>
      </x:c>
      <x:c r="B132" t="n">
        <x:f>'02_Loan_Portfolio'!Q132</x:f>
        <x:v>1</x:v>
      </x:c>
      <x:c r="C132" t="n">
        <x:f>'02_Loan_Portfolio'!N132</x:f>
        <x:v>0.020233</x:v>
      </x:c>
      <x:c r="D132" t="n">
        <x:f>'02_Loan_Portfolio'!R132</x:f>
        <x:v>0.03035</x:v>
      </x:c>
      <x:c r="E132" t="n">
        <x:f>'02_Loan_Portfolio'!O132</x:f>
        <x:v>0.471101</x:v>
      </x:c>
      <x:c r="F132" t="n">
        <x:f>'02_Loan_Portfolio'!P132</x:f>
        <x:v>1053920082073</x:v>
      </x:c>
      <x:c r="G132" t="n">
        <x:f>IF(B132=1,C132,D132)</x:f>
        <x:v>0.020233</x:v>
      </x:c>
      <x:c r="H132" t="n">
        <x:f>G132*E132*F132</x:f>
        <x:v>10045741245.161676</x:v>
      </x:c>
      <x:c r="I132" t="str">
        <x:f>IF(B132=1,"12M ECL","Lifetime ECL")</x:f>
        <x:v>12M ECL</x:v>
      </x:c>
    </x:row>
    <x:row r="133">
      <x:c r="A133" t="str">
        <x:f>'02_Loan_Portfolio'!A133</x:f>
        <x:v>LN00132</x:v>
      </x:c>
      <x:c r="B133" t="n">
        <x:f>'02_Loan_Portfolio'!Q133</x:f>
        <x:v>1</x:v>
      </x:c>
      <x:c r="C133" t="n">
        <x:f>'02_Loan_Portfolio'!N133</x:f>
        <x:v>0.12</x:v>
      </x:c>
      <x:c r="D133" t="n">
        <x:f>'02_Loan_Portfolio'!R133</x:f>
        <x:v>0.18</x:v>
      </x:c>
      <x:c r="E133" t="n">
        <x:f>'02_Loan_Portfolio'!O133</x:f>
        <x:v>0.249876</x:v>
      </x:c>
      <x:c r="F133" t="n">
        <x:f>'02_Loan_Portfolio'!P133</x:f>
        <x:v>3071809760948</x:v>
      </x:c>
      <x:c r="G133" t="n">
        <x:f>IF(B133=1,C133,D133)</x:f>
        <x:v>0.12</x:v>
      </x:c>
      <x:c r="H133" t="n">
        <x:f>G133*E133*F133</x:f>
        <x:v>92108584299.19708</x:v>
      </x:c>
      <x:c r="I133" t="str">
        <x:f>IF(B133=1,"12M ECL","Lifetime ECL")</x:f>
        <x:v>12M ECL</x:v>
      </x:c>
    </x:row>
    <x:row r="134">
      <x:c r="A134" t="str">
        <x:f>'02_Loan_Portfolio'!A134</x:f>
        <x:v>LN00133</x:v>
      </x:c>
      <x:c r="B134" t="n">
        <x:f>'02_Loan_Portfolio'!Q134</x:f>
        <x:v>1</x:v>
      </x:c>
      <x:c r="C134" t="n">
        <x:f>'02_Loan_Portfolio'!N134</x:f>
        <x:v>0.014699</x:v>
      </x:c>
      <x:c r="D134" t="n">
        <x:f>'02_Loan_Portfolio'!R134</x:f>
        <x:v>0.022049</x:v>
      </x:c>
      <x:c r="E134" t="n">
        <x:f>'02_Loan_Portfolio'!O134</x:f>
        <x:v>0.525191</x:v>
      </x:c>
      <x:c r="F134" t="n">
        <x:f>'02_Loan_Portfolio'!P134</x:f>
        <x:v>487462308419</x:v>
      </x:c>
      <x:c r="G134" t="n">
        <x:f>IF(B134=1,C134,D134)</x:f>
        <x:v>0.014699</x:v>
      </x:c>
      <x:c r="H134" t="n">
        <x:f>G134*E134*F134</x:f>
        <x:v>3763103002.3297596</x:v>
      </x:c>
      <x:c r="I134" t="str">
        <x:f>IF(B134=1,"12M ECL","Lifetime ECL")</x:f>
        <x:v>12M ECL</x:v>
      </x:c>
    </x:row>
    <x:row r="135">
      <x:c r="A135" t="str">
        <x:f>'02_Loan_Portfolio'!A135</x:f>
        <x:v>LN00134</x:v>
      </x:c>
      <x:c r="B135" t="n">
        <x:f>'02_Loan_Portfolio'!Q135</x:f>
        <x:v>2</x:v>
      </x:c>
      <x:c r="C135" t="n">
        <x:f>'02_Loan_Portfolio'!N135</x:f>
        <x:v>0.004635</x:v>
      </x:c>
      <x:c r="D135" t="n">
        <x:f>'02_Loan_Portfolio'!R135</x:f>
        <x:v>0.013904</x:v>
      </x:c>
      <x:c r="E135" t="n">
        <x:f>'02_Loan_Portfolio'!O135</x:f>
        <x:v>0.442499</x:v>
      </x:c>
      <x:c r="F135" t="n">
        <x:f>'02_Loan_Portfolio'!P135</x:f>
        <x:v>1844720395419</x:v>
      </x:c>
      <x:c r="G135" t="n">
        <x:f>IF(B135=1,C135,D135)</x:f>
        <x:v>0.013904</x:v>
      </x:c>
      <x:c r="H135" t="n">
        <x:f>G135*E135*F135</x:f>
        <x:v>11349653478.230928</x:v>
      </x:c>
      <x:c r="I135" t="str">
        <x:f>IF(B135=1,"12M ECL","Lifetime ECL")</x:f>
        <x:v>Lifetime ECL</x:v>
      </x:c>
    </x:row>
    <x:row r="136">
      <x:c r="A136" t="str">
        <x:f>'02_Loan_Portfolio'!A136</x:f>
        <x:v>LN00135</x:v>
      </x:c>
      <x:c r="B136" t="n">
        <x:f>'02_Loan_Portfolio'!Q136</x:f>
        <x:v>1</x:v>
      </x:c>
      <x:c r="C136" t="n">
        <x:f>'02_Loan_Portfolio'!N136</x:f>
        <x:v>0.055</x:v>
      </x:c>
      <x:c r="D136" t="n">
        <x:f>'02_Loan_Portfolio'!R136</x:f>
        <x:v>0.0825</x:v>
      </x:c>
      <x:c r="E136" t="n">
        <x:f>'02_Loan_Portfolio'!O136</x:f>
        <x:v>0.604114</x:v>
      </x:c>
      <x:c r="F136" t="n">
        <x:f>'02_Loan_Portfolio'!P136</x:f>
        <x:v>2126861706843</x:v>
      </x:c>
      <x:c r="G136" t="n">
        <x:f>IF(B136=1,C136,D136)</x:f>
        <x:v>0.055</x:v>
      </x:c>
      <x:c r="H136" t="n">
        <x:f>G136*E136*F136</x:f>
        <x:v>70667681324.22636</x:v>
      </x:c>
      <x:c r="I136" t="str">
        <x:f>IF(B136=1,"12M ECL","Lifetime ECL")</x:f>
        <x:v>12M ECL</x:v>
      </x:c>
    </x:row>
    <x:row r="137">
      <x:c r="A137" t="str">
        <x:f>'02_Loan_Portfolio'!A137</x:f>
        <x:v>LN00136</x:v>
      </x:c>
      <x:c r="B137" t="n">
        <x:f>'02_Loan_Portfolio'!Q137</x:f>
        <x:v>1</x:v>
      </x:c>
      <x:c r="C137" t="n">
        <x:f>'02_Loan_Portfolio'!N137</x:f>
        <x:v>0.055</x:v>
      </x:c>
      <x:c r="D137" t="n">
        <x:f>'02_Loan_Portfolio'!R137</x:f>
        <x:v>0.0825</x:v>
      </x:c>
      <x:c r="E137" t="n">
        <x:f>'02_Loan_Portfolio'!O137</x:f>
        <x:v>0.452588</x:v>
      </x:c>
      <x:c r="F137" t="n">
        <x:f>'02_Loan_Portfolio'!P137</x:f>
        <x:v>1415266911583</x:v>
      </x:c>
      <x:c r="G137" t="n">
        <x:f>IF(B137=1,C137,D137)</x:f>
        <x:v>0.055</x:v>
      </x:c>
      <x:c r="H137" t="n">
        <x:f>G137*E137*F137</x:f>
        <x:v>35229305153.87397</x:v>
      </x:c>
      <x:c r="I137" t="str">
        <x:f>IF(B137=1,"12M ECL","Lifetime ECL")</x:f>
        <x:v>12M ECL</x:v>
      </x:c>
    </x:row>
    <x:row r="138">
      <x:c r="A138" t="str">
        <x:f>'02_Loan_Portfolio'!A138</x:f>
        <x:v>LN00137</x:v>
      </x:c>
      <x:c r="B138" t="n">
        <x:f>'02_Loan_Portfolio'!Q138</x:f>
        <x:v>1</x:v>
      </x:c>
      <x:c r="C138" t="n">
        <x:f>'02_Loan_Portfolio'!N138</x:f>
        <x:v>0.12</x:v>
      </x:c>
      <x:c r="D138" t="n">
        <x:f>'02_Loan_Portfolio'!R138</x:f>
        <x:v>0.18</x:v>
      </x:c>
      <x:c r="E138" t="n">
        <x:f>'02_Loan_Portfolio'!O138</x:f>
        <x:v>0.49224</x:v>
      </x:c>
      <x:c r="F138" t="n">
        <x:f>'02_Loan_Portfolio'!P138</x:f>
        <x:v>1023612460937</x:v>
      </x:c>
      <x:c r="G138" t="n">
        <x:f>IF(B138=1,C138,D138)</x:f>
        <x:v>0.12</x:v>
      </x:c>
      <x:c r="H138" t="n">
        <x:f>G138*E138*F138</x:f>
        <x:v>60463559732.59547</x:v>
      </x:c>
      <x:c r="I138" t="str">
        <x:f>IF(B138=1,"12M ECL","Lifetime ECL")</x:f>
        <x:v>12M ECL</x:v>
      </x:c>
    </x:row>
    <x:row r="139">
      <x:c r="A139" t="str">
        <x:f>'02_Loan_Portfolio'!A139</x:f>
        <x:v>LN00138</x:v>
      </x:c>
      <x:c r="B139" t="n">
        <x:f>'02_Loan_Portfolio'!Q139</x:f>
        <x:v>1</x:v>
      </x:c>
      <x:c r="C139" t="n">
        <x:f>'02_Loan_Portfolio'!N139</x:f>
        <x:v>0.05813</x:v>
      </x:c>
      <x:c r="D139" t="n">
        <x:f>'02_Loan_Portfolio'!R139</x:f>
        <x:v>0.087195</x:v>
      </x:c>
      <x:c r="E139" t="n">
        <x:f>'02_Loan_Portfolio'!O139</x:f>
        <x:v>0.782122</x:v>
      </x:c>
      <x:c r="F139" t="n">
        <x:f>'02_Loan_Portfolio'!P139</x:f>
        <x:v>2496527692882</x:v>
      </x:c>
      <x:c r="G139" t="n">
        <x:f>IF(B139=1,C139,D139)</x:f>
        <x:v>0.05813</x:v>
      </x:c>
      <x:c r="H139" t="n">
        <x:f>G139*E139*F139</x:f>
        <x:v>113504012068.49841</x:v>
      </x:c>
      <x:c r="I139" t="str">
        <x:f>IF(B139=1,"12M ECL","Lifetime ECL")</x:f>
        <x:v>12M ECL</x:v>
      </x:c>
    </x:row>
    <x:row r="140">
      <x:c r="A140" t="str">
        <x:f>'02_Loan_Portfolio'!A140</x:f>
        <x:v>LN00139</x:v>
      </x:c>
      <x:c r="B140" t="n">
        <x:f>'02_Loan_Portfolio'!Q140</x:f>
        <x:v>1</x:v>
      </x:c>
      <x:c r="C140" t="n">
        <x:f>'02_Loan_Portfolio'!N140</x:f>
        <x:v>0.005417</x:v>
      </x:c>
      <x:c r="D140" t="n">
        <x:f>'02_Loan_Portfolio'!R140</x:f>
        <x:v>0.008125</x:v>
      </x:c>
      <x:c r="E140" t="n">
        <x:f>'02_Loan_Portfolio'!O140</x:f>
        <x:v>0.527129</x:v>
      </x:c>
      <x:c r="F140" t="n">
        <x:f>'02_Loan_Portfolio'!P140</x:f>
        <x:v>3153814575518</x:v>
      </x:c>
      <x:c r="G140" t="n">
        <x:f>IF(B140=1,C140,D140)</x:f>
        <x:v>0.005417</x:v>
      </x:c>
      <x:c r="H140" t="n">
        <x:f>G140*E140*F140</x:f>
        <x:v>9005584407.339859</x:v>
      </x:c>
      <x:c r="I140" t="str">
        <x:f>IF(B140=1,"12M ECL","Lifetime ECL")</x:f>
        <x:v>12M ECL</x:v>
      </x:c>
    </x:row>
    <x:row r="141">
      <x:c r="A141" t="str">
        <x:f>'02_Loan_Portfolio'!A141</x:f>
        <x:v>LN00140</x:v>
      </x:c>
      <x:c r="B141" t="n">
        <x:f>'02_Loan_Portfolio'!Q141</x:f>
        <x:v>1</x:v>
      </x:c>
      <x:c r="C141" t="n">
        <x:f>'02_Loan_Portfolio'!N141</x:f>
        <x:v>0.057053</x:v>
      </x:c>
      <x:c r="D141" t="n">
        <x:f>'02_Loan_Portfolio'!R141</x:f>
        <x:v>0.085579</x:v>
      </x:c>
      <x:c r="E141" t="n">
        <x:f>'02_Loan_Portfolio'!O141</x:f>
        <x:v>0.605472</x:v>
      </x:c>
      <x:c r="F141" t="n">
        <x:f>'02_Loan_Portfolio'!P141</x:f>
        <x:v>3041284274495</x:v>
      </x:c>
      <x:c r="G141" t="n">
        <x:f>IF(B141=1,C141,D141)</x:f>
        <x:v>0.057053</x:v>
      </x:c>
      <x:c r="H141" t="n">
        <x:f>G141*E141*F141</x:f>
        <x:v>105058105779.11018</x:v>
      </x:c>
      <x:c r="I141" t="str">
        <x:f>IF(B141=1,"12M ECL","Lifetime ECL")</x:f>
        <x:v>12M ECL</x:v>
      </x:c>
    </x:row>
    <x:row r="142">
      <x:c r="A142" t="str">
        <x:f>'02_Loan_Portfolio'!A142</x:f>
        <x:v>LN00141</x:v>
      </x:c>
      <x:c r="B142" t="n">
        <x:f>'02_Loan_Portfolio'!Q142</x:f>
        <x:v>1</x:v>
      </x:c>
      <x:c r="C142" t="n">
        <x:f>'02_Loan_Portfolio'!N142</x:f>
        <x:v>0.0075</x:v>
      </x:c>
      <x:c r="D142" t="n">
        <x:f>'02_Loan_Portfolio'!R142</x:f>
        <x:v>0.01125</x:v>
      </x:c>
      <x:c r="E142" t="n">
        <x:f>'02_Loan_Portfolio'!O142</x:f>
        <x:v>0.49772</x:v>
      </x:c>
      <x:c r="F142" t="n">
        <x:f>'02_Loan_Portfolio'!P142</x:f>
        <x:v>2731781412185</x:v>
      </x:c>
      <x:c r="G142" t="n">
        <x:f>IF(B142=1,C142,D142)</x:f>
        <x:v>0.0075</x:v>
      </x:c>
      <x:c r="H142" t="n">
        <x:f>G142*E142*F142</x:f>
        <x:v>10197466833.545387</x:v>
      </x:c>
      <x:c r="I142" t="str">
        <x:f>IF(B142=1,"12M ECL","Lifetime ECL")</x:f>
        <x:v>12M ECL</x:v>
      </x:c>
    </x:row>
    <x:row r="143">
      <x:c r="A143" t="str">
        <x:f>'02_Loan_Portfolio'!A143</x:f>
        <x:v>LN00142</x:v>
      </x:c>
      <x:c r="B143" t="n">
        <x:f>'02_Loan_Portfolio'!Q143</x:f>
        <x:v>1</x:v>
      </x:c>
      <x:c r="C143" t="n">
        <x:f>'02_Loan_Portfolio'!N143</x:f>
        <x:v>0.120503</x:v>
      </x:c>
      <x:c r="D143" t="n">
        <x:f>'02_Loan_Portfolio'!R143</x:f>
        <x:v>0.180754</x:v>
      </x:c>
      <x:c r="E143" t="n">
        <x:f>'02_Loan_Portfolio'!O143</x:f>
        <x:v>0.445264</x:v>
      </x:c>
      <x:c r="F143" t="n">
        <x:f>'02_Loan_Portfolio'!P143</x:f>
        <x:v>1015590530160</x:v>
      </x:c>
      <x:c r="G143" t="n">
        <x:f>IF(B143=1,C143,D143)</x:f>
        <x:v>0.120503</x:v>
      </x:c>
      <x:c r="H143" t="n">
        <x:f>G143*E143*F143</x:f>
        <x:v>54492167787.15552</x:v>
      </x:c>
      <x:c r="I143" t="str">
        <x:f>IF(B143=1,"12M ECL","Lifetime ECL")</x:f>
        <x:v>12M ECL</x:v>
      </x:c>
    </x:row>
    <x:row r="144">
      <x:c r="A144" t="str">
        <x:f>'02_Loan_Portfolio'!A144</x:f>
        <x:v>LN00143</x:v>
      </x:c>
      <x:c r="B144" t="n">
        <x:f>'02_Loan_Portfolio'!Q144</x:f>
        <x:v>2</x:v>
      </x:c>
      <x:c r="C144" t="n">
        <x:f>'02_Loan_Portfolio'!N144</x:f>
        <x:v>0.04375</x:v>
      </x:c>
      <x:c r="D144" t="n">
        <x:f>'02_Loan_Portfolio'!R144</x:f>
        <x:v>0.13125</x:v>
      </x:c>
      <x:c r="E144" t="n">
        <x:f>'02_Loan_Portfolio'!O144</x:f>
        <x:v>0.391407</x:v>
      </x:c>
      <x:c r="F144" t="n">
        <x:f>'02_Loan_Portfolio'!P144</x:f>
        <x:v>2830948808478</x:v>
      </x:c>
      <x:c r="G144" t="n">
        <x:f>IF(B144=1,C144,D144)</x:f>
        <x:v>0.13125</x:v>
      </x:c>
      <x:c r="H144" t="n">
        <x:f>G144*E144*F144</x:f>
        <x:v>145431979911.74326</x:v>
      </x:c>
      <x:c r="I144" t="str">
        <x:f>IF(B144=1,"12M ECL","Lifetime ECL")</x:f>
        <x:v>Lifetime ECL</x:v>
      </x:c>
    </x:row>
    <x:row r="145">
      <x:c r="A145" t="str">
        <x:f>'02_Loan_Portfolio'!A145</x:f>
        <x:v>LN00144</x:v>
      </x:c>
      <x:c r="B145" t="n">
        <x:f>'02_Loan_Portfolio'!Q145</x:f>
        <x:v>1</x:v>
      </x:c>
      <x:c r="C145" t="n">
        <x:f>'02_Loan_Portfolio'!N145</x:f>
        <x:v>0.061956</x:v>
      </x:c>
      <x:c r="D145" t="n">
        <x:f>'02_Loan_Portfolio'!R145</x:f>
        <x:v>0.092934</x:v>
      </x:c>
      <x:c r="E145" t="n">
        <x:f>'02_Loan_Portfolio'!O145</x:f>
        <x:v>0.46827</x:v>
      </x:c>
      <x:c r="F145" t="n">
        <x:f>'02_Loan_Portfolio'!P145</x:f>
        <x:v>1269814638383</x:v>
      </x:c>
      <x:c r="G145" t="n">
        <x:f>IF(B145=1,C145,D145)</x:f>
        <x:v>0.061956</x:v>
      </x:c>
      <x:c r="H145" t="n">
        <x:f>G145*E145*F145</x:f>
        <x:v>36840035135.93617</x:v>
      </x:c>
      <x:c r="I145" t="str">
        <x:f>IF(B145=1,"12M ECL","Lifetime ECL")</x:f>
        <x:v>12M ECL</x:v>
      </x:c>
    </x:row>
    <x:row r="146">
      <x:c r="A146" t="str">
        <x:f>'02_Loan_Portfolio'!A146</x:f>
        <x:v>LN00145</x:v>
      </x:c>
      <x:c r="B146" t="n">
        <x:f>'02_Loan_Portfolio'!Q146</x:f>
        <x:v>2</x:v>
      </x:c>
      <x:c r="C146" t="n">
        <x:f>'02_Loan_Portfolio'!N146</x:f>
        <x:v>0.598042</x:v>
      </x:c>
      <x:c r="D146" t="n">
        <x:f>'02_Loan_Portfolio'!R146</x:f>
        <x:v>0.99</x:v>
      </x:c>
      <x:c r="E146" t="n">
        <x:f>'02_Loan_Portfolio'!O146</x:f>
        <x:v>0.505087</x:v>
      </x:c>
      <x:c r="F146" t="n">
        <x:f>'02_Loan_Portfolio'!P146</x:f>
        <x:v>3307472330312</x:v>
      </x:c>
      <x:c r="G146" t="n">
        <x:f>IF(B146=1,C146,D146)</x:f>
        <x:v>0.99</x:v>
      </x:c>
      <x:c r="H146" t="n">
        <x:f>G146*E146*F146</x:f>
        <x:v>1653855664131.294</x:v>
      </x:c>
      <x:c r="I146" t="str">
        <x:f>IF(B146=1,"12M ECL","Lifetime ECL")</x:f>
        <x:v>Lifetime ECL</x:v>
      </x:c>
    </x:row>
    <x:row r="147">
      <x:c r="A147" t="str">
        <x:f>'02_Loan_Portfolio'!A147</x:f>
        <x:v>LN00146</x:v>
      </x:c>
      <x:c r="B147" t="n">
        <x:f>'02_Loan_Portfolio'!Q147</x:f>
        <x:v>1</x:v>
      </x:c>
      <x:c r="C147" t="n">
        <x:f>'02_Loan_Portfolio'!N147</x:f>
        <x:v>0.00717</x:v>
      </x:c>
      <x:c r="D147" t="n">
        <x:f>'02_Loan_Portfolio'!R147</x:f>
        <x:v>0.010755</x:v>
      </x:c>
      <x:c r="E147" t="n">
        <x:f>'02_Loan_Portfolio'!O147</x:f>
        <x:v>0.667872</x:v>
      </x:c>
      <x:c r="F147" t="n">
        <x:f>'02_Loan_Portfolio'!P147</x:f>
        <x:v>251592871940</x:v>
      </x:c>
      <x:c r="G147" t="n">
        <x:f>IF(B147=1,C147,D147)</x:f>
        <x:v>0.00717</x:v>
      </x:c>
      <x:c r="H147" t="n">
        <x:f>G147*E147*F147</x:f>
        <x:v>1204788253.8547947</x:v>
      </x:c>
      <x:c r="I147" t="str">
        <x:f>IF(B147=1,"12M ECL","Lifetime ECL")</x:f>
        <x:v>12M ECL</x:v>
      </x:c>
    </x:row>
    <x:row r="148">
      <x:c r="A148" t="str">
        <x:f>'02_Loan_Portfolio'!A148</x:f>
        <x:v>LN00147</x:v>
      </x:c>
      <x:c r="B148" t="n">
        <x:f>'02_Loan_Portfolio'!Q148</x:f>
        <x:v>1</x:v>
      </x:c>
      <x:c r="C148" t="n">
        <x:f>'02_Loan_Portfolio'!N148</x:f>
        <x:v>0.071027</x:v>
      </x:c>
      <x:c r="D148" t="n">
        <x:f>'02_Loan_Portfolio'!R148</x:f>
        <x:v>0.106541</x:v>
      </x:c>
      <x:c r="E148" t="n">
        <x:f>'02_Loan_Portfolio'!O148</x:f>
        <x:v>0.676908</x:v>
      </x:c>
      <x:c r="F148" t="n">
        <x:f>'02_Loan_Portfolio'!P148</x:f>
        <x:v>2010618942636</x:v>
      </x:c>
      <x:c r="G148" t="n">
        <x:f>IF(B148=1,C148,D148)</x:f>
        <x:v>0.071027</x:v>
      </x:c>
      <x:c r="H148" t="n">
        <x:f>G148*E148*F148</x:f>
        <x:v>96668034462.0263</x:v>
      </x:c>
      <x:c r="I148" t="str">
        <x:f>IF(B148=1,"12M ECL","Lifetime ECL")</x:f>
        <x:v>12M ECL</x:v>
      </x:c>
    </x:row>
    <x:row r="149">
      <x:c r="A149" t="str">
        <x:f>'02_Loan_Portfolio'!A149</x:f>
        <x:v>LN00148</x:v>
      </x:c>
      <x:c r="B149" t="n">
        <x:f>'02_Loan_Portfolio'!Q149</x:f>
        <x:v>1</x:v>
      </x:c>
      <x:c r="C149" t="n">
        <x:f>'02_Loan_Portfolio'!N149</x:f>
        <x:v>0.12</x:v>
      </x:c>
      <x:c r="D149" t="n">
        <x:f>'02_Loan_Portfolio'!R149</x:f>
        <x:v>0.18</x:v>
      </x:c>
      <x:c r="E149" t="n">
        <x:f>'02_Loan_Portfolio'!O149</x:f>
        <x:v>0.534688</x:v>
      </x:c>
      <x:c r="F149" t="n">
        <x:f>'02_Loan_Portfolio'!P149</x:f>
        <x:v>2780695676524</x:v>
      </x:c>
      <x:c r="G149" t="n">
        <x:f>IF(B149=1,C149,D149)</x:f>
        <x:v>0.12</x:v>
      </x:c>
      <x:c r="H149" t="n">
        <x:f>G149*E149*F149</x:f>
        <x:v>178416553186.71176</x:v>
      </x:c>
      <x:c r="I149" t="str">
        <x:f>IF(B149=1,"12M ECL","Lifetime ECL")</x:f>
        <x:v>12M ECL</x:v>
      </x:c>
    </x:row>
    <x:row r="150">
      <x:c r="A150" t="str">
        <x:f>'02_Loan_Portfolio'!A150</x:f>
        <x:v>LN00149</x:v>
      </x:c>
      <x:c r="B150" t="n">
        <x:f>'02_Loan_Portfolio'!Q150</x:f>
        <x:v>1</x:v>
      </x:c>
      <x:c r="C150" t="n">
        <x:f>'02_Loan_Portfolio'!N150</x:f>
        <x:v>0.071265</x:v>
      </x:c>
      <x:c r="D150" t="n">
        <x:f>'02_Loan_Portfolio'!R150</x:f>
        <x:v>0.106897</x:v>
      </x:c>
      <x:c r="E150" t="n">
        <x:f>'02_Loan_Portfolio'!O150</x:f>
        <x:v>0.683054</x:v>
      </x:c>
      <x:c r="F150" t="n">
        <x:f>'02_Loan_Portfolio'!P150</x:f>
        <x:v>133204741917</x:v>
      </x:c>
      <x:c r="G150" t="n">
        <x:f>IF(B150=1,C150,D150)</x:f>
        <x:v>0.071265</x:v>
      </x:c>
      <x:c r="H150" t="n">
        <x:f>G150*E150*F150</x:f>
        <x:v>6484119555.184715</x:v>
      </x:c>
      <x:c r="I150" t="str">
        <x:f>IF(B150=1,"12M ECL","Lifetime ECL")</x:f>
        <x:v>12M ECL</x:v>
      </x:c>
    </x:row>
    <x:row r="151">
      <x:c r="A151" t="str">
        <x:f>'02_Loan_Portfolio'!A151</x:f>
        <x:v>LN00150</x:v>
      </x:c>
      <x:c r="B151" t="n">
        <x:f>'02_Loan_Portfolio'!Q151</x:f>
        <x:v>1</x:v>
      </x:c>
      <x:c r="C151" t="n">
        <x:f>'02_Loan_Portfolio'!N151</x:f>
        <x:v>0.125165</x:v>
      </x:c>
      <x:c r="D151" t="n">
        <x:f>'02_Loan_Portfolio'!R151</x:f>
        <x:v>0.187748</x:v>
      </x:c>
      <x:c r="E151" t="n">
        <x:f>'02_Loan_Portfolio'!O151</x:f>
        <x:v>0.820052</x:v>
      </x:c>
      <x:c r="F151" t="n">
        <x:f>'02_Loan_Portfolio'!P151</x:f>
        <x:v>2521825690275</x:v>
      </x:c>
      <x:c r="G151" t="n">
        <x:f>IF(B151=1,C151,D151)</x:f>
        <x:v>0.125165</x:v>
      </x:c>
      <x:c r="H151" t="n">
        <x:f>G151*E151*F151</x:f>
        <x:v>258844749773.33292</x:v>
      </x:c>
      <x:c r="I151" t="str">
        <x:f>IF(B151=1,"12M ECL","Lifetime ECL")</x:f>
        <x:v>12M ECL</x:v>
      </x:c>
    </x:row>
    <x:row r="152">
      <x:c r="A152" t="str">
        <x:f>'02_Loan_Portfolio'!A152</x:f>
        <x:v>LN00151</x:v>
      </x:c>
      <x:c r="B152" t="n">
        <x:f>'02_Loan_Portfolio'!Q152</x:f>
        <x:v>1</x:v>
      </x:c>
      <x:c r="C152" t="n">
        <x:f>'02_Loan_Portfolio'!N152</x:f>
        <x:v>0.35</x:v>
      </x:c>
      <x:c r="D152" t="n">
        <x:f>'02_Loan_Portfolio'!R152</x:f>
        <x:v>0.525</x:v>
      </x:c>
      <x:c r="E152" t="n">
        <x:f>'02_Loan_Portfolio'!O152</x:f>
        <x:v>0.72002</x:v>
      </x:c>
      <x:c r="F152" t="n">
        <x:f>'02_Loan_Portfolio'!P152</x:f>
        <x:v>1906033499938</x:v>
      </x:c>
      <x:c r="G152" t="n">
        <x:f>IF(B152=1,C152,D152)</x:f>
        <x:v>0.35</x:v>
      </x:c>
      <x:c r="H152" t="n">
        <x:f>G152*E152*F152</x:f>
        <x:v>480333784218.87555</x:v>
      </x:c>
      <x:c r="I152" t="str">
        <x:f>IF(B152=1,"12M ECL","Lifetime ECL")</x:f>
        <x:v>12M ECL</x:v>
      </x:c>
    </x:row>
    <x:row r="153">
      <x:c r="A153" t="str">
        <x:f>'02_Loan_Portfolio'!A153</x:f>
        <x:v>LN00152</x:v>
      </x:c>
      <x:c r="B153" t="n">
        <x:f>'02_Loan_Portfolio'!Q153</x:f>
        <x:v>1</x:v>
      </x:c>
      <x:c r="C153" t="n">
        <x:f>'02_Loan_Portfolio'!N153</x:f>
        <x:v>0.083394</x:v>
      </x:c>
      <x:c r="D153" t="n">
        <x:f>'02_Loan_Portfolio'!R153</x:f>
        <x:v>0.125091</x:v>
      </x:c>
      <x:c r="E153" t="n">
        <x:f>'02_Loan_Portfolio'!O153</x:f>
        <x:v>0.469211</x:v>
      </x:c>
      <x:c r="F153" t="n">
        <x:f>'02_Loan_Portfolio'!P153</x:f>
        <x:v>1095715289328</x:v>
      </x:c>
      <x:c r="G153" t="n">
        <x:f>IF(B153=1,C153,D153)</x:f>
        <x:v>0.083394</x:v>
      </x:c>
      <x:c r="H153" t="n">
        <x:f>G153*E153*F153</x:f>
        <x:v>42874662266.18168</x:v>
      </x:c>
      <x:c r="I153" t="str">
        <x:f>IF(B153=1,"12M ECL","Lifetime ECL")</x:f>
        <x:v>12M ECL</x:v>
      </x:c>
    </x:row>
    <x:row r="154">
      <x:c r="A154" t="str">
        <x:f>'02_Loan_Portfolio'!A154</x:f>
        <x:v>LN00153</x:v>
      </x:c>
      <x:c r="B154" t="n">
        <x:f>'02_Loan_Portfolio'!Q154</x:f>
        <x:v>1</x:v>
      </x:c>
      <x:c r="C154" t="n">
        <x:f>'02_Loan_Portfolio'!N154</x:f>
        <x:v>0.03125</x:v>
      </x:c>
      <x:c r="D154" t="n">
        <x:f>'02_Loan_Portfolio'!R154</x:f>
        <x:v>0.046875</x:v>
      </x:c>
      <x:c r="E154" t="n">
        <x:f>'02_Loan_Portfolio'!O154</x:f>
        <x:v>0.531729</x:v>
      </x:c>
      <x:c r="F154" t="n">
        <x:f>'02_Loan_Portfolio'!P154</x:f>
        <x:v>936800525128</x:v>
      </x:c>
      <x:c r="G154" t="n">
        <x:f>IF(B154=1,C154,D154)</x:f>
        <x:v>0.03125</x:v>
      </x:c>
      <x:c r="H154" t="n">
        <x:f>G154*E154*F154</x:f>
        <x:v>15566375200.805822</x:v>
      </x:c>
      <x:c r="I154" t="str">
        <x:f>IF(B154=1,"12M ECL","Lifetime ECL")</x:f>
        <x:v>12M ECL</x:v>
      </x:c>
    </x:row>
    <x:row r="155">
      <x:c r="A155" t="str">
        <x:f>'02_Loan_Portfolio'!A155</x:f>
        <x:v>LN00154</x:v>
      </x:c>
      <x:c r="B155" t="n">
        <x:f>'02_Loan_Portfolio'!Q155</x:f>
        <x:v>1</x:v>
      </x:c>
      <x:c r="C155" t="n">
        <x:f>'02_Loan_Portfolio'!N155</x:f>
        <x:v>0.027822</x:v>
      </x:c>
      <x:c r="D155" t="n">
        <x:f>'02_Loan_Portfolio'!R155</x:f>
        <x:v>0.041733</x:v>
      </x:c>
      <x:c r="E155" t="n">
        <x:f>'02_Loan_Portfolio'!O155</x:f>
        <x:v>0.519311</x:v>
      </x:c>
      <x:c r="F155" t="n">
        <x:f>'02_Loan_Portfolio'!P155</x:f>
        <x:v>1941103327579</x:v>
      </x:c>
      <x:c r="G155" t="n">
        <x:f>IF(B155=1,C155,D155)</x:f>
        <x:v>0.027822</x:v>
      </x:c>
      <x:c r="H155" t="n">
        <x:f>G155*E155*F155</x:f>
        <x:v>28045586220.948174</x:v>
      </x:c>
      <x:c r="I155" t="str">
        <x:f>IF(B155=1,"12M ECL","Lifetime ECL")</x:f>
        <x:v>12M ECL</x:v>
      </x:c>
    </x:row>
    <x:row r="156">
      <x:c r="A156" t="str">
        <x:f>'02_Loan_Portfolio'!A156</x:f>
        <x:v>LN00155</x:v>
      </x:c>
      <x:c r="B156" t="n">
        <x:f>'02_Loan_Portfolio'!Q156</x:f>
        <x:v>1</x:v>
      </x:c>
      <x:c r="C156" t="n">
        <x:f>'02_Loan_Portfolio'!N156</x:f>
        <x:v>0.015847</x:v>
      </x:c>
      <x:c r="D156" t="n">
        <x:f>'02_Loan_Portfolio'!R156</x:f>
        <x:v>0.02377</x:v>
      </x:c>
      <x:c r="E156" t="n">
        <x:f>'02_Loan_Portfolio'!O156</x:f>
        <x:v>0.52507</x:v>
      </x:c>
      <x:c r="F156" t="n">
        <x:f>'02_Loan_Portfolio'!P156</x:f>
        <x:v>57121921015</x:v>
      </x:c>
      <x:c r="G156" t="n">
        <x:f>IF(B156=1,C156,D156)</x:f>
        <x:v>0.015847</x:v>
      </x:c>
      <x:c r="H156" t="n">
        <x:f>G156*E156*F156</x:f>
        <x:v>475299182.9962329</x:v>
      </x:c>
      <x:c r="I156" t="str">
        <x:f>IF(B156=1,"12M ECL","Lifetime ECL")</x:f>
        <x:v>12M ECL</x:v>
      </x:c>
    </x:row>
    <x:row r="157">
      <x:c r="A157" t="str">
        <x:f>'02_Loan_Portfolio'!A157</x:f>
        <x:v>LN00156</x:v>
      </x:c>
      <x:c r="B157" t="n">
        <x:f>'02_Loan_Portfolio'!Q157</x:f>
        <x:v>1</x:v>
      </x:c>
      <x:c r="C157" t="n">
        <x:f>'02_Loan_Portfolio'!N157</x:f>
        <x:v>0.025</x:v>
      </x:c>
      <x:c r="D157" t="n">
        <x:f>'02_Loan_Portfolio'!R157</x:f>
        <x:v>0.0375</x:v>
      </x:c>
      <x:c r="E157" t="n">
        <x:f>'02_Loan_Portfolio'!O157</x:f>
        <x:v>0.535033</x:v>
      </x:c>
      <x:c r="F157" t="n">
        <x:f>'02_Loan_Portfolio'!P157</x:f>
        <x:v>1819127030248</x:v>
      </x:c>
      <x:c r="G157" t="n">
        <x:f>IF(B157=1,C157,D157)</x:f>
        <x:v>0.025</x:v>
      </x:c>
      <x:c r="H157" t="n">
        <x:f>G157*E157*F157</x:f>
        <x:v>24332324809.366955</x:v>
      </x:c>
      <x:c r="I157" t="str">
        <x:f>IF(B157=1,"12M ECL","Lifetime ECL")</x:f>
        <x:v>12M ECL</x:v>
      </x:c>
    </x:row>
    <x:row r="158">
      <x:c r="A158" t="str">
        <x:f>'02_Loan_Portfolio'!A158</x:f>
        <x:v>LN00157</x:v>
      </x:c>
      <x:c r="B158" t="n">
        <x:f>'02_Loan_Portfolio'!Q158</x:f>
        <x:v>2</x:v>
      </x:c>
      <x:c r="C158" t="n">
        <x:f>'02_Loan_Portfolio'!N158</x:f>
        <x:v>0.003314</x:v>
      </x:c>
      <x:c r="D158" t="n">
        <x:f>'02_Loan_Portfolio'!R158</x:f>
        <x:v>0.009943</x:v>
      </x:c>
      <x:c r="E158" t="n">
        <x:f>'02_Loan_Portfolio'!O158</x:f>
        <x:v>0.367213</x:v>
      </x:c>
      <x:c r="F158" t="n">
        <x:f>'02_Loan_Portfolio'!P158</x:f>
        <x:v>1783495202991</x:v>
      </x:c>
      <x:c r="G158" t="n">
        <x:f>IF(B158=1,C158,D158)</x:f>
        <x:v>0.009943</x:v>
      </x:c>
      <x:c r="H158" t="n">
        <x:f>G158*E158*F158</x:f>
        <x:v>6511895650.192713</x:v>
      </x:c>
      <x:c r="I158" t="str">
        <x:f>IF(B158=1,"12M ECL","Lifetime ECL")</x:f>
        <x:v>Lifetime ECL</x:v>
      </x:c>
    </x:row>
    <x:row r="159">
      <x:c r="A159" t="str">
        <x:f>'02_Loan_Portfolio'!A159</x:f>
        <x:v>LN00158</x:v>
      </x:c>
      <x:c r="B159" t="n">
        <x:f>'02_Loan_Portfolio'!Q159</x:f>
        <x:v>1</x:v>
      </x:c>
      <x:c r="C159" t="n">
        <x:f>'02_Loan_Portfolio'!N159</x:f>
        <x:v>0.28</x:v>
      </x:c>
      <x:c r="D159" t="n">
        <x:f>'02_Loan_Portfolio'!R159</x:f>
        <x:v>0.42</x:v>
      </x:c>
      <x:c r="E159" t="n">
        <x:f>'02_Loan_Portfolio'!O159</x:f>
        <x:v>0.741394</x:v>
      </x:c>
      <x:c r="F159" t="n">
        <x:f>'02_Loan_Portfolio'!P159</x:f>
        <x:v>2823261134535</x:v>
      </x:c>
      <x:c r="G159" t="n">
        <x:f>IF(B159=1,C159,D159)</x:f>
        <x:v>0.28</x:v>
      </x:c>
      <x:c r="H159" t="n">
        <x:f>G159*E159*F159</x:f>
        <x:v>586081682361.6837</x:v>
      </x:c>
      <x:c r="I159" t="str">
        <x:f>IF(B159=1,"12M ECL","Lifetime ECL")</x:f>
        <x:v>12M ECL</x:v>
      </x:c>
    </x:row>
    <x:row r="160">
      <x:c r="A160" t="str">
        <x:f>'02_Loan_Portfolio'!A160</x:f>
        <x:v>LN00159</x:v>
      </x:c>
      <x:c r="B160" t="n">
        <x:f>'02_Loan_Portfolio'!Q160</x:f>
        <x:v>1</x:v>
      </x:c>
      <x:c r="C160" t="n">
        <x:f>'02_Loan_Portfolio'!N160</x:f>
        <x:v>0.013661</x:v>
      </x:c>
      <x:c r="D160" t="n">
        <x:f>'02_Loan_Portfolio'!R160</x:f>
        <x:v>0.020492</x:v>
      </x:c>
      <x:c r="E160" t="n">
        <x:f>'02_Loan_Portfolio'!O160</x:f>
        <x:v>0.778888</x:v>
      </x:c>
      <x:c r="F160" t="n">
        <x:f>'02_Loan_Portfolio'!P160</x:f>
        <x:v>2213139537194</x:v>
      </x:c>
      <x:c r="G160" t="n">
        <x:f>IF(B160=1,C160,D160)</x:f>
        <x:v>0.013661</x:v>
      </x:c>
      <x:c r="H160" t="n">
        <x:f>G160*E160*F160</x:f>
        <x:v>23548665516.203663</x:v>
      </x:c>
      <x:c r="I160" t="str">
        <x:f>IF(B160=1,"12M ECL","Lifetime ECL")</x:f>
        <x:v>12M ECL</x:v>
      </x:c>
    </x:row>
    <x:row r="161">
      <x:c r="A161" t="str">
        <x:f>'02_Loan_Portfolio'!A161</x:f>
        <x:v>LN00160</x:v>
      </x:c>
      <x:c r="B161" t="n">
        <x:f>'02_Loan_Portfolio'!Q161</x:f>
        <x:v>1</x:v>
      </x:c>
      <x:c r="C161" t="n">
        <x:f>'02_Loan_Portfolio'!N161</x:f>
        <x:v>0.013553</x:v>
      </x:c>
      <x:c r="D161" t="n">
        <x:f>'02_Loan_Portfolio'!R161</x:f>
        <x:v>0.02033</x:v>
      </x:c>
      <x:c r="E161" t="n">
        <x:f>'02_Loan_Portfolio'!O161</x:f>
        <x:v>0.375664</x:v>
      </x:c>
      <x:c r="F161" t="n">
        <x:f>'02_Loan_Portfolio'!P161</x:f>
        <x:v>2456559443022</x:v>
      </x:c>
      <x:c r="G161" t="n">
        <x:f>IF(B161=1,C161,D161)</x:f>
        <x:v>0.013553</x:v>
      </x:c>
      <x:c r="H161" t="n">
        <x:f>G161*E161*F161</x:f>
        <x:v>12507263349.316105</x:v>
      </x:c>
      <x:c r="I161" t="str">
        <x:f>IF(B161=1,"12M ECL","Lifetime ECL")</x:f>
        <x:v>12M ECL</x:v>
      </x:c>
    </x:row>
    <x:row r="162">
      <x:c r="A162" t="str">
        <x:f>'02_Loan_Portfolio'!A162</x:f>
        <x:v>LN00161</x:v>
      </x:c>
      <x:c r="B162" t="n">
        <x:f>'02_Loan_Portfolio'!Q162</x:f>
        <x:v>1</x:v>
      </x:c>
      <x:c r="C162" t="n">
        <x:f>'02_Loan_Portfolio'!N162</x:f>
        <x:v>0.15</x:v>
      </x:c>
      <x:c r="D162" t="n">
        <x:f>'02_Loan_Portfolio'!R162</x:f>
        <x:v>0.225</x:v>
      </x:c>
      <x:c r="E162" t="n">
        <x:f>'02_Loan_Portfolio'!O162</x:f>
        <x:v>0.441544</x:v>
      </x:c>
      <x:c r="F162" t="n">
        <x:f>'02_Loan_Portfolio'!P162</x:f>
        <x:v>511146866152</x:v>
      </x:c>
      <x:c r="G162" t="n">
        <x:f>IF(B162=1,C162,D162)</x:f>
        <x:v>0.15</x:v>
      </x:c>
      <x:c r="H162" t="n">
        <x:f>G162*E162*F162</x:f>
        <x:v>33854074780.232803</x:v>
      </x:c>
      <x:c r="I162" t="str">
        <x:f>IF(B162=1,"12M ECL","Lifetime ECL")</x:f>
        <x:v>12M ECL</x:v>
      </x:c>
    </x:row>
    <x:row r="163">
      <x:c r="A163" t="str">
        <x:f>'02_Loan_Portfolio'!A163</x:f>
        <x:v>LN00162</x:v>
      </x:c>
      <x:c r="B163" t="n">
        <x:f>'02_Loan_Portfolio'!Q163</x:f>
        <x:v>1</x:v>
      </x:c>
      <x:c r="C163" t="n">
        <x:f>'02_Loan_Portfolio'!N163</x:f>
        <x:v>0.002167</x:v>
      </x:c>
      <x:c r="D163" t="n">
        <x:f>'02_Loan_Portfolio'!R163</x:f>
        <x:v>0.00325</x:v>
      </x:c>
      <x:c r="E163" t="n">
        <x:f>'02_Loan_Portfolio'!O163</x:f>
        <x:v>0.736673</x:v>
      </x:c>
      <x:c r="F163" t="n">
        <x:f>'02_Loan_Portfolio'!P163</x:f>
        <x:v>2339532920566</x:v>
      </x:c>
      <x:c r="G163" t="n">
        <x:f>IF(B163=1,C163,D163)</x:f>
        <x:v>0.002167</x:v>
      </x:c>
      <x:c r="H163" t="n">
        <x:f>G163*E163*F163</x:f>
        <x:v>3734761083.161318</x:v>
      </x:c>
      <x:c r="I163" t="str">
        <x:f>IF(B163=1,"12M ECL","Lifetime ECL")</x:f>
        <x:v>12M ECL</x:v>
      </x:c>
    </x:row>
    <x:row r="164">
      <x:c r="A164" t="str">
        <x:f>'02_Loan_Portfolio'!A164</x:f>
        <x:v>LN00163</x:v>
      </x:c>
      <x:c r="B164" t="n">
        <x:f>'02_Loan_Portfolio'!Q164</x:f>
        <x:v>1</x:v>
      </x:c>
      <x:c r="C164" t="n">
        <x:f>'02_Loan_Portfolio'!N164</x:f>
        <x:v>0.015</x:v>
      </x:c>
      <x:c r="D164" t="n">
        <x:f>'02_Loan_Portfolio'!R164</x:f>
        <x:v>0.0225</x:v>
      </x:c>
      <x:c r="E164" t="n">
        <x:f>'02_Loan_Portfolio'!O164</x:f>
        <x:v>0.469442</x:v>
      </x:c>
      <x:c r="F164" t="n">
        <x:f>'02_Loan_Portfolio'!P164</x:f>
        <x:v>610831765425</x:v>
      </x:c>
      <x:c r="G164" t="n">
        <x:f>IF(B164=1,C164,D164)</x:f>
        <x:v>0.015</x:v>
      </x:c>
      <x:c r="H164" t="n">
        <x:f>G164*E164*F164</x:f>
        <x:v>4301251284.369643</x:v>
      </x:c>
      <x:c r="I164" t="str">
        <x:f>IF(B164=1,"12M ECL","Lifetime ECL")</x:f>
        <x:v>12M ECL</x:v>
      </x:c>
    </x:row>
    <x:row r="165">
      <x:c r="A165" t="str">
        <x:f>'02_Loan_Portfolio'!A165</x:f>
        <x:v>LN00164</x:v>
      </x:c>
      <x:c r="B165" t="n">
        <x:f>'02_Loan_Portfolio'!Q165</x:f>
        <x:v>1</x:v>
      </x:c>
      <x:c r="C165" t="n">
        <x:f>'02_Loan_Portfolio'!N165</x:f>
        <x:v>0.005</x:v>
      </x:c>
      <x:c r="D165" t="n">
        <x:f>'02_Loan_Portfolio'!R165</x:f>
        <x:v>0.0075</x:v>
      </x:c>
      <x:c r="E165" t="n">
        <x:f>'02_Loan_Portfolio'!O165</x:f>
        <x:v>0.538931</x:v>
      </x:c>
      <x:c r="F165" t="n">
        <x:f>'02_Loan_Portfolio'!P165</x:f>
        <x:v>2708284110907</x:v>
      </x:c>
      <x:c r="G165" t="n">
        <x:f>IF(B165=1,C165,D165)</x:f>
        <x:v>0.005</x:v>
      </x:c>
      <x:c r="H165" t="n">
        <x:f>G165*E165*F165</x:f>
        <x:v>7297891320.876102</x:v>
      </x:c>
      <x:c r="I165" t="str">
        <x:f>IF(B165=1,"12M ECL","Lifetime ECL")</x:f>
        <x:v>12M ECL</x:v>
      </x:c>
    </x:row>
    <x:row r="166">
      <x:c r="A166" t="str">
        <x:f>'02_Loan_Portfolio'!A166</x:f>
        <x:v>LN00165</x:v>
      </x:c>
      <x:c r="B166" t="n">
        <x:f>'02_Loan_Portfolio'!Q166</x:f>
        <x:v>1</x:v>
      </x:c>
      <x:c r="C166" t="n">
        <x:f>'02_Loan_Portfolio'!N166</x:f>
        <x:v>0.201454</x:v>
      </x:c>
      <x:c r="D166" t="n">
        <x:f>'02_Loan_Portfolio'!R166</x:f>
        <x:v>0.302181</x:v>
      </x:c>
      <x:c r="E166" t="n">
        <x:f>'02_Loan_Portfolio'!O166</x:f>
        <x:v>0.736019</x:v>
      </x:c>
      <x:c r="F166" t="n">
        <x:f>'02_Loan_Portfolio'!P166</x:f>
        <x:v>1898174955327</x:v>
      </x:c>
      <x:c r="G166" t="n">
        <x:f>IF(B166=1,C166,D166)</x:f>
        <x:v>0.201454</x:v>
      </x:c>
      <x:c r="H166" t="n">
        <x:f>G166*E166*F166</x:f>
        <x:v>281449939467.33936</x:v>
      </x:c>
      <x:c r="I166" t="str">
        <x:f>IF(B166=1,"12M ECL","Lifetime ECL")</x:f>
        <x:v>12M ECL</x:v>
      </x:c>
    </x:row>
    <x:row r="167">
      <x:c r="A167" t="str">
        <x:f>'02_Loan_Portfolio'!A167</x:f>
        <x:v>LN00166</x:v>
      </x:c>
      <x:c r="B167" t="n">
        <x:f>'02_Loan_Portfolio'!Q167</x:f>
        <x:v>1</x:v>
      </x:c>
      <x:c r="C167" t="n">
        <x:f>'02_Loan_Portfolio'!N167</x:f>
        <x:v>0.162929</x:v>
      </x:c>
      <x:c r="D167" t="n">
        <x:f>'02_Loan_Portfolio'!R167</x:f>
        <x:v>0.244393</x:v>
      </x:c>
      <x:c r="E167" t="n">
        <x:f>'02_Loan_Portfolio'!O167</x:f>
        <x:v>0.548861</x:v>
      </x:c>
      <x:c r="F167" t="n">
        <x:f>'02_Loan_Portfolio'!P167</x:f>
        <x:v>875628492481</x:v>
      </x:c>
      <x:c r="G167" t="n">
        <x:f>IF(B167=1,C167,D167)</x:f>
        <x:v>0.162929</x:v>
      </x:c>
      <x:c r="H167" t="n">
        <x:f>G167*E167*F167</x:f>
        <x:v>78303405310.46228</x:v>
      </x:c>
      <x:c r="I167" t="str">
        <x:f>IF(B167=1,"12M ECL","Lifetime ECL")</x:f>
        <x:v>12M ECL</x:v>
      </x:c>
    </x:row>
    <x:row r="168">
      <x:c r="A168" t="str">
        <x:f>'02_Loan_Portfolio'!A168</x:f>
        <x:v>LN00167</x:v>
      </x:c>
      <x:c r="B168" t="n">
        <x:f>'02_Loan_Portfolio'!Q168</x:f>
        <x:v>1</x:v>
      </x:c>
      <x:c r="C168" t="n">
        <x:f>'02_Loan_Portfolio'!N168</x:f>
        <x:v>0.12</x:v>
      </x:c>
      <x:c r="D168" t="n">
        <x:f>'02_Loan_Portfolio'!R168</x:f>
        <x:v>0.18</x:v>
      </x:c>
      <x:c r="E168" t="n">
        <x:f>'02_Loan_Portfolio'!O168</x:f>
        <x:v>0.829056</x:v>
      </x:c>
      <x:c r="F168" t="n">
        <x:f>'02_Loan_Portfolio'!P168</x:f>
        <x:v>3309911413159</x:v>
      </x:c>
      <x:c r="G168" t="n">
        <x:f>IF(B168=1,C168,D168)</x:f>
        <x:v>0.12</x:v>
      </x:c>
      <x:c r="H168" t="n">
        <x:f>G168*E168*F168</x:f>
        <x:v>329292229985.7537</x:v>
      </x:c>
      <x:c r="I168" t="str">
        <x:f>IF(B168=1,"12M ECL","Lifetime ECL")</x:f>
        <x:v>12M ECL</x:v>
      </x:c>
    </x:row>
    <x:row r="169">
      <x:c r="A169" t="str">
        <x:f>'02_Loan_Portfolio'!A169</x:f>
        <x:v>LN00168</x:v>
      </x:c>
      <x:c r="B169" t="n">
        <x:f>'02_Loan_Portfolio'!Q169</x:f>
        <x:v>1</x:v>
      </x:c>
      <x:c r="C169" t="n">
        <x:f>'02_Loan_Portfolio'!N169</x:f>
        <x:v>0.09211</x:v>
      </x:c>
      <x:c r="D169" t="n">
        <x:f>'02_Loan_Portfolio'!R169</x:f>
        <x:v>0.138165</x:v>
      </x:c>
      <x:c r="E169" t="n">
        <x:f>'02_Loan_Portfolio'!O169</x:f>
        <x:v>0.782322</x:v>
      </x:c>
      <x:c r="F169" t="n">
        <x:f>'02_Loan_Portfolio'!P169</x:f>
        <x:v>2477973892685</x:v>
      </x:c>
      <x:c r="G169" t="n">
        <x:f>IF(B169=1,C169,D169)</x:f>
        <x:v>0.09211</x:v>
      </x:c>
      <x:c r="H169" t="n">
        <x:f>G169*E169*F169</x:f>
        <x:v>178562004318.01056</x:v>
      </x:c>
      <x:c r="I169" t="str">
        <x:f>IF(B169=1,"12M ECL","Lifetime ECL")</x:f>
        <x:v>12M ECL</x:v>
      </x:c>
    </x:row>
    <x:row r="170">
      <x:c r="A170" t="str">
        <x:f>'02_Loan_Portfolio'!A170</x:f>
        <x:v>LN00169</x:v>
      </x:c>
      <x:c r="B170" t="n">
        <x:f>'02_Loan_Portfolio'!Q170</x:f>
        <x:v>1</x:v>
      </x:c>
      <x:c r="C170" t="n">
        <x:f>'02_Loan_Portfolio'!N170</x:f>
        <x:v>0.025</x:v>
      </x:c>
      <x:c r="D170" t="n">
        <x:f>'02_Loan_Portfolio'!R170</x:f>
        <x:v>0.0375</x:v>
      </x:c>
      <x:c r="E170" t="n">
        <x:f>'02_Loan_Portfolio'!O170</x:f>
        <x:v>0.465726</x:v>
      </x:c>
      <x:c r="F170" t="n">
        <x:f>'02_Loan_Portfolio'!P170</x:f>
        <x:v>1847072057612</x:v>
      </x:c>
      <x:c r="G170" t="n">
        <x:f>IF(B170=1,C170,D170)</x:f>
        <x:v>0.025</x:v>
      </x:c>
      <x:c r="H170" t="n">
        <x:f>G170*E170*F170</x:f>
        <x:v>21505737027.585155</x:v>
      </x:c>
      <x:c r="I170" t="str">
        <x:f>IF(B170=1,"12M ECL","Lifetime ECL")</x:f>
        <x:v>12M ECL</x:v>
      </x:c>
    </x:row>
    <x:row r="171">
      <x:c r="A171" t="str">
        <x:f>'02_Loan_Portfolio'!A171</x:f>
        <x:v>LN00170</x:v>
      </x:c>
      <x:c r="B171" t="n">
        <x:f>'02_Loan_Portfolio'!Q171</x:f>
        <x:v>1</x:v>
      </x:c>
      <x:c r="C171" t="n">
        <x:f>'02_Loan_Portfolio'!N171</x:f>
        <x:v>0.0375</x:v>
      </x:c>
      <x:c r="D171" t="n">
        <x:f>'02_Loan_Portfolio'!R171</x:f>
        <x:v>0.05625</x:v>
      </x:c>
      <x:c r="E171" t="n">
        <x:f>'02_Loan_Portfolio'!O171</x:f>
        <x:v>0.479013</x:v>
      </x:c>
      <x:c r="F171" t="n">
        <x:f>'02_Loan_Portfolio'!P171</x:f>
        <x:v>2627808315434</x:v>
      </x:c>
      <x:c r="G171" t="n">
        <x:f>IF(B171=1,C171,D171)</x:f>
        <x:v>0.0375</x:v>
      </x:c>
      <x:c r="H171" t="n">
        <x:f>G171*E171*F171</x:f>
        <x:v>47203287922.536995</x:v>
      </x:c>
      <x:c r="I171" t="str">
        <x:f>IF(B171=1,"12M ECL","Lifetime ECL")</x:f>
        <x:v>12M ECL</x:v>
      </x:c>
    </x:row>
    <x:row r="172">
      <x:c r="A172" t="str">
        <x:f>'02_Loan_Portfolio'!A172</x:f>
        <x:v>LN00171</x:v>
      </x:c>
      <x:c r="B172" t="n">
        <x:f>'02_Loan_Portfolio'!Q172</x:f>
        <x:v>1</x:v>
      </x:c>
      <x:c r="C172" t="n">
        <x:f>'02_Loan_Portfolio'!N172</x:f>
        <x:v>0.07174</x:v>
      </x:c>
      <x:c r="D172" t="n">
        <x:f>'02_Loan_Portfolio'!R172</x:f>
        <x:v>0.107611</x:v>
      </x:c>
      <x:c r="E172" t="n">
        <x:f>'02_Loan_Portfolio'!O172</x:f>
        <x:v>0.517463</x:v>
      </x:c>
      <x:c r="F172" t="n">
        <x:f>'02_Loan_Portfolio'!P172</x:f>
        <x:v>476773223506</x:v>
      </x:c>
      <x:c r="G172" t="n">
        <x:f>IF(B172=1,C172,D172)</x:f>
        <x:v>0.07174</x:v>
      </x:c>
      <x:c r="H172" t="n">
        <x:f>G172*E172*F172</x:f>
        <x:v>17699154933.30182</x:v>
      </x:c>
      <x:c r="I172" t="str">
        <x:f>IF(B172=1,"12M ECL","Lifetime ECL")</x:f>
        <x:v>12M ECL</x:v>
      </x:c>
    </x:row>
    <x:row r="173">
      <x:c r="A173" t="str">
        <x:f>'02_Loan_Portfolio'!A173</x:f>
        <x:v>LN00172</x:v>
      </x:c>
      <x:c r="B173" t="n">
        <x:f>'02_Loan_Portfolio'!Q173</x:f>
        <x:v>1</x:v>
      </x:c>
      <x:c r="C173" t="n">
        <x:f>'02_Loan_Portfolio'!N173</x:f>
        <x:v>0.132417</x:v>
      </x:c>
      <x:c r="D173" t="n">
        <x:f>'02_Loan_Portfolio'!R173</x:f>
        <x:v>0.198625</x:v>
      </x:c>
      <x:c r="E173" t="n">
        <x:f>'02_Loan_Portfolio'!O173</x:f>
        <x:v>0.886415</x:v>
      </x:c>
      <x:c r="F173" t="n">
        <x:f>'02_Loan_Portfolio'!P173</x:f>
        <x:v>2785860682630</x:v>
      </x:c>
      <x:c r="G173" t="n">
        <x:f>IF(B173=1,C173,D173)</x:f>
        <x:v>0.132417</x:v>
      </x:c>
      <x:c r="H173" t="n">
        <x:f>G173*E173*F173</x:f>
        <x:v>326994339769.78455</x:v>
      </x:c>
      <x:c r="I173" t="str">
        <x:f>IF(B173=1,"12M ECL","Lifetime ECL")</x:f>
        <x:v>12M ECL</x:v>
      </x:c>
    </x:row>
    <x:row r="174">
      <x:c r="A174" t="str">
        <x:f>'02_Loan_Portfolio'!A174</x:f>
        <x:v>LN00173</x:v>
      </x:c>
      <x:c r="B174" t="n">
        <x:f>'02_Loan_Portfolio'!Q174</x:f>
        <x:v>2</x:v>
      </x:c>
      <x:c r="C174" t="n">
        <x:f>'02_Loan_Portfolio'!N174</x:f>
        <x:v>0.047354</x:v>
      </x:c>
      <x:c r="D174" t="n">
        <x:f>'02_Loan_Portfolio'!R174</x:f>
        <x:v>0.142063</x:v>
      </x:c>
      <x:c r="E174" t="n">
        <x:f>'02_Loan_Portfolio'!O174</x:f>
        <x:v>0.534042</x:v>
      </x:c>
      <x:c r="F174" t="n">
        <x:f>'02_Loan_Portfolio'!P174</x:f>
        <x:v>2483111069304</x:v>
      </x:c>
      <x:c r="G174" t="n">
        <x:f>IF(B174=1,C174,D174)</x:f>
        <x:v>0.142063</x:v>
      </x:c>
      <x:c r="H174" t="n">
        <x:f>G174*E174*F174</x:f>
        <x:v>188387698830.50647</x:v>
      </x:c>
      <x:c r="I174" t="str">
        <x:f>IF(B174=1,"12M ECL","Lifetime ECL")</x:f>
        <x:v>Lifetime ECL</x:v>
      </x:c>
    </x:row>
    <x:row r="175">
      <x:c r="A175" t="str">
        <x:f>'02_Loan_Portfolio'!A175</x:f>
        <x:v>LN00174</x:v>
      </x:c>
      <x:c r="B175" t="n">
        <x:f>'02_Loan_Portfolio'!Q175</x:f>
        <x:v>2</x:v>
      </x:c>
      <x:c r="C175" t="n">
        <x:f>'02_Loan_Portfolio'!N175</x:f>
        <x:v>0.087083</x:v>
      </x:c>
      <x:c r="D175" t="n">
        <x:f>'02_Loan_Portfolio'!R175</x:f>
        <x:v>0.26125</x:v>
      </x:c>
      <x:c r="E175" t="n">
        <x:f>'02_Loan_Portfolio'!O175</x:f>
        <x:v>0.640547</x:v>
      </x:c>
      <x:c r="F175" t="n">
        <x:f>'02_Loan_Portfolio'!P175</x:f>
        <x:v>1875959635193</x:v>
      </x:c>
      <x:c r="G175" t="n">
        <x:f>IF(B175=1,C175,D175)</x:f>
        <x:v>0.26125</x:v>
      </x:c>
      <x:c r="H175" t="n">
        <x:f>G175*E175*F175</x:f>
        <x:v>313928532670.9873</x:v>
      </x:c>
      <x:c r="I175" t="str">
        <x:f>IF(B175=1,"12M ECL","Lifetime ECL")</x:f>
        <x:v>Lifetime ECL</x:v>
      </x:c>
    </x:row>
    <x:row r="176">
      <x:c r="A176" t="str">
        <x:f>'02_Loan_Portfolio'!A176</x:f>
        <x:v>LN00175</x:v>
      </x:c>
      <x:c r="B176" t="n">
        <x:f>'02_Loan_Portfolio'!Q176</x:f>
        <x:v>2</x:v>
      </x:c>
      <x:c r="C176" t="n">
        <x:f>'02_Loan_Portfolio'!N176</x:f>
        <x:v>0.059445</x:v>
      </x:c>
      <x:c r="D176" t="n">
        <x:f>'02_Loan_Portfolio'!R176</x:f>
        <x:v>0.178334</x:v>
      </x:c>
      <x:c r="E176" t="n">
        <x:f>'02_Loan_Portfolio'!O176</x:f>
        <x:v>0.639697</x:v>
      </x:c>
      <x:c r="F176" t="n">
        <x:f>'02_Loan_Portfolio'!P176</x:f>
        <x:v>1482577181370</x:v>
      </x:c>
      <x:c r="G176" t="n">
        <x:f>IF(B176=1,C176,D176)</x:f>
        <x:v>0.178334</x:v>
      </x:c>
      <x:c r="H176" t="n">
        <x:f>G176*E176*F176</x:f>
        <x:v>169131996842.48413</x:v>
      </x:c>
      <x:c r="I176" t="str">
        <x:f>IF(B176=1,"12M ECL","Lifetime ECL")</x:f>
        <x:v>Lifetime ECL</x:v>
      </x:c>
    </x:row>
    <x:row r="177">
      <x:c r="A177" t="str">
        <x:f>'02_Loan_Portfolio'!A177</x:f>
        <x:v>LN00176</x:v>
      </x:c>
      <x:c r="B177" t="n">
        <x:f>'02_Loan_Portfolio'!Q177</x:f>
        <x:v>1</x:v>
      </x:c>
      <x:c r="C177" t="n">
        <x:f>'02_Loan_Portfolio'!N177</x:f>
        <x:v>0.018173</x:v>
      </x:c>
      <x:c r="D177" t="n">
        <x:f>'02_Loan_Portfolio'!R177</x:f>
        <x:v>0.027259</x:v>
      </x:c>
      <x:c r="E177" t="n">
        <x:f>'02_Loan_Portfolio'!O177</x:f>
        <x:v>0.466397</x:v>
      </x:c>
      <x:c r="F177" t="n">
        <x:f>'02_Loan_Portfolio'!P177</x:f>
        <x:v>1521444516486</x:v>
      </x:c>
      <x:c r="G177" t="n">
        <x:f>IF(B177=1,C177,D177)</x:f>
        <x:v>0.018173</x:v>
      </x:c>
      <x:c r="H177" t="n">
        <x:f>G177*E177*F177</x:f>
        <x:v>12895509155.160282</x:v>
      </x:c>
      <x:c r="I177" t="str">
        <x:f>IF(B177=1,"12M ECL","Lifetime ECL")</x:f>
        <x:v>12M ECL</x:v>
      </x:c>
    </x:row>
    <x:row r="178">
      <x:c r="A178" t="str">
        <x:f>'02_Loan_Portfolio'!A178</x:f>
        <x:v>LN00177</x:v>
      </x:c>
      <x:c r="B178" t="n">
        <x:f>'02_Loan_Portfolio'!Q178</x:f>
        <x:v>1</x:v>
      </x:c>
      <x:c r="C178" t="n">
        <x:f>'02_Loan_Portfolio'!N178</x:f>
        <x:v>0.013</x:v>
      </x:c>
      <x:c r="D178" t="n">
        <x:f>'02_Loan_Portfolio'!R178</x:f>
        <x:v>0.0195</x:v>
      </x:c>
      <x:c r="E178" t="n">
        <x:f>'02_Loan_Portfolio'!O178</x:f>
        <x:v>0.463488</x:v>
      </x:c>
      <x:c r="F178" t="n">
        <x:f>'02_Loan_Portfolio'!P178</x:f>
        <x:v>1817875904123</x:v>
      </x:c>
      <x:c r="G178" t="n">
        <x:f>IF(B178=1,C178,D178)</x:f>
        <x:v>0.013</x:v>
      </x:c>
      <x:c r="H178" t="n">
        <x:f>G178*E178*F178</x:f>
        <x:v>10953327671.652094</x:v>
      </x:c>
      <x:c r="I178" t="str">
        <x:f>IF(B178=1,"12M ECL","Lifetime ECL")</x:f>
        <x:v>12M ECL</x:v>
      </x:c>
    </x:row>
    <x:row r="179">
      <x:c r="A179" t="str">
        <x:f>'02_Loan_Portfolio'!A179</x:f>
        <x:v>LN00178</x:v>
      </x:c>
      <x:c r="B179" t="n">
        <x:f>'02_Loan_Portfolio'!Q179</x:f>
        <x:v>1</x:v>
      </x:c>
      <x:c r="C179" t="n">
        <x:f>'02_Loan_Portfolio'!N179</x:f>
        <x:v>0.025412</x:v>
      </x:c>
      <x:c r="D179" t="n">
        <x:f>'02_Loan_Portfolio'!R179</x:f>
        <x:v>0.038119</x:v>
      </x:c>
      <x:c r="E179" t="n">
        <x:f>'02_Loan_Portfolio'!O179</x:f>
        <x:v>0.524519</x:v>
      </x:c>
      <x:c r="F179" t="n">
        <x:f>'02_Loan_Portfolio'!P179</x:f>
        <x:v>2149358225659</x:v>
      </x:c>
      <x:c r="G179" t="n">
        <x:f>IF(B179=1,C179,D179)</x:f>
        <x:v>0.025412</x:v>
      </x:c>
      <x:c r="H179" t="n">
        <x:f>G179*E179*F179</x:f>
        <x:v>28648960920.702568</x:v>
      </x:c>
      <x:c r="I179" t="str">
        <x:f>IF(B179=1,"12M ECL","Lifetime ECL")</x:f>
        <x:v>12M ECL</x:v>
      </x:c>
    </x:row>
    <x:row r="180">
      <x:c r="A180" t="str">
        <x:f>'02_Loan_Portfolio'!A180</x:f>
        <x:v>LN00179</x:v>
      </x:c>
      <x:c r="B180" t="n">
        <x:f>'02_Loan_Portfolio'!Q180</x:f>
        <x:v>1</x:v>
      </x:c>
      <x:c r="C180" t="n">
        <x:f>'02_Loan_Portfolio'!N180</x:f>
        <x:v>0.019826</x:v>
      </x:c>
      <x:c r="D180" t="n">
        <x:f>'02_Loan_Portfolio'!R180</x:f>
        <x:v>0.029739</x:v>
      </x:c>
      <x:c r="E180" t="n">
        <x:f>'02_Loan_Portfolio'!O180</x:f>
        <x:v>0.654814</x:v>
      </x:c>
      <x:c r="F180" t="n">
        <x:f>'02_Loan_Portfolio'!P180</x:f>
        <x:v>304033447353</x:v>
      </x:c>
      <x:c r="G180" t="n">
        <x:f>IF(B180=1,C180,D180)</x:f>
        <x:v>0.019826</x:v>
      </x:c>
      <x:c r="H180" t="n">
        <x:f>G180*E180*F180</x:f>
        <x:v>3947066303.6438155</x:v>
      </x:c>
      <x:c r="I180" t="str">
        <x:f>IF(B180=1,"12M ECL","Lifetime ECL")</x:f>
        <x:v>12M ECL</x:v>
      </x:c>
    </x:row>
    <x:row r="181">
      <x:c r="A181" t="str">
        <x:f>'02_Loan_Portfolio'!A181</x:f>
        <x:v>LN00180</x:v>
      </x:c>
      <x:c r="B181" t="n">
        <x:f>'02_Loan_Portfolio'!Q181</x:f>
        <x:v>1</x:v>
      </x:c>
      <x:c r="C181" t="n">
        <x:f>'02_Loan_Portfolio'!N181</x:f>
        <x:v>0.071256</x:v>
      </x:c>
      <x:c r="D181" t="n">
        <x:f>'02_Loan_Portfolio'!R181</x:f>
        <x:v>0.106883</x:v>
      </x:c>
      <x:c r="E181" t="n">
        <x:f>'02_Loan_Portfolio'!O181</x:f>
        <x:v>0.612993</x:v>
      </x:c>
      <x:c r="F181" t="n">
        <x:f>'02_Loan_Portfolio'!P181</x:f>
        <x:v>1918037676057</x:v>
      </x:c>
      <x:c r="G181" t="n">
        <x:f>IF(B181=1,C181,D181)</x:f>
        <x:v>0.071256</x:v>
      </x:c>
      <x:c r="H181" t="n">
        <x:f>G181*E181*F181</x:f>
        <x:v>83778790889.60857</x:v>
      </x:c>
      <x:c r="I181" t="str">
        <x:f>IF(B181=1,"12M ECL","Lifetime ECL")</x:f>
        <x:v>12M ECL</x:v>
      </x:c>
    </x:row>
    <x:row r="182">
      <x:c r="A182" t="str">
        <x:f>'02_Loan_Portfolio'!A182</x:f>
        <x:v>LN00181</x:v>
      </x:c>
      <x:c r="B182" t="n">
        <x:f>'02_Loan_Portfolio'!Q182</x:f>
        <x:v>2</x:v>
      </x:c>
      <x:c r="C182" t="n">
        <x:f>'02_Loan_Portfolio'!N182</x:f>
        <x:v>0.025319</x:v>
      </x:c>
      <x:c r="D182" t="n">
        <x:f>'02_Loan_Portfolio'!R182</x:f>
        <x:v>0.075958</x:v>
      </x:c>
      <x:c r="E182" t="n">
        <x:f>'02_Loan_Portfolio'!O182</x:f>
        <x:v>0.5489</x:v>
      </x:c>
      <x:c r="F182" t="n">
        <x:f>'02_Loan_Portfolio'!P182</x:f>
        <x:v>1473688000730</x:v>
      </x:c>
      <x:c r="G182" t="n">
        <x:f>IF(B182=1,C182,D182)</x:f>
        <x:v>0.075958</x:v>
      </x:c>
      <x:c r="H182" t="n">
        <x:f>G182*E182*F182</x:f>
        <x:v>61442984005.22175</x:v>
      </x:c>
      <x:c r="I182" t="str">
        <x:f>IF(B182=1,"12M ECL","Lifetime ECL")</x:f>
        <x:v>Lifetime ECL</x:v>
      </x:c>
    </x:row>
    <x:row r="183">
      <x:c r="A183" t="str">
        <x:f>'02_Loan_Portfolio'!A183</x:f>
        <x:v>LN00182</x:v>
      </x:c>
      <x:c r="B183" t="n">
        <x:f>'02_Loan_Portfolio'!Q183</x:f>
        <x:v>1</x:v>
      </x:c>
      <x:c r="C183" t="n">
        <x:f>'02_Loan_Portfolio'!N183</x:f>
        <x:v>0.055</x:v>
      </x:c>
      <x:c r="D183" t="n">
        <x:f>'02_Loan_Portfolio'!R183</x:f>
        <x:v>0.0825</x:v>
      </x:c>
      <x:c r="E183" t="n">
        <x:f>'02_Loan_Portfolio'!O183</x:f>
        <x:v>0.491109</x:v>
      </x:c>
      <x:c r="F183" t="n">
        <x:f>'02_Loan_Portfolio'!P183</x:f>
        <x:v>1352968398035</x:v>
      </x:c>
      <x:c r="G183" t="n">
        <x:f>IF(B183=1,C183,D183)</x:f>
        <x:v>0.055</x:v>
      </x:c>
      <x:c r="H183" t="n">
        <x:f>G183*E183*F183</x:f>
        <x:v>36545022634.48139</x:v>
      </x:c>
      <x:c r="I183" t="str">
        <x:f>IF(B183=1,"12M ECL","Lifetime ECL")</x:f>
        <x:v>12M ECL</x:v>
      </x:c>
    </x:row>
    <x:row r="184">
      <x:c r="A184" t="str">
        <x:f>'02_Loan_Portfolio'!A184</x:f>
        <x:v>LN00183</x:v>
      </x:c>
      <x:c r="B184" t="n">
        <x:f>'02_Loan_Portfolio'!Q184</x:f>
        <x:v>1</x:v>
      </x:c>
      <x:c r="C184" t="n">
        <x:f>'02_Loan_Portfolio'!N184</x:f>
        <x:v>0.420425</x:v>
      </x:c>
      <x:c r="D184" t="n">
        <x:f>'02_Loan_Portfolio'!R184</x:f>
        <x:v>0.630638</x:v>
      </x:c>
      <x:c r="E184" t="n">
        <x:f>'02_Loan_Portfolio'!O184</x:f>
        <x:v>0.34894</x:v>
      </x:c>
      <x:c r="F184" t="n">
        <x:f>'02_Loan_Portfolio'!P184</x:f>
        <x:v>1838460569714</x:v>
      </x:c>
      <x:c r="G184" t="n">
        <x:f>IF(B184=1,C184,D184)</x:f>
        <x:v>0.420425</x:v>
      </x:c>
      <x:c r="H184" t="n">
        <x:f>G184*E184*F184</x:f>
        <x:v>269707863885.57962</x:v>
      </x:c>
      <x:c r="I184" t="str">
        <x:f>IF(B184=1,"12M ECL","Lifetime ECL")</x:f>
        <x:v>12M ECL</x:v>
      </x:c>
    </x:row>
    <x:row r="185">
      <x:c r="A185" t="str">
        <x:f>'02_Loan_Portfolio'!A185</x:f>
        <x:v>LN00184</x:v>
      </x:c>
      <x:c r="B185" t="n">
        <x:f>'02_Loan_Portfolio'!Q185</x:f>
        <x:v>2</x:v>
      </x:c>
      <x:c r="C185" t="n">
        <x:f>'02_Loan_Portfolio'!N185</x:f>
        <x:v>0.0375</x:v>
      </x:c>
      <x:c r="D185" t="n">
        <x:f>'02_Loan_Portfolio'!R185</x:f>
        <x:v>0.1125</x:v>
      </x:c>
      <x:c r="E185" t="n">
        <x:f>'02_Loan_Portfolio'!O185</x:f>
        <x:v>0.55024</x:v>
      </x:c>
      <x:c r="F185" t="n">
        <x:f>'02_Loan_Portfolio'!P185</x:f>
        <x:v>3266470568642</x:v>
      </x:c>
      <x:c r="G185" t="n">
        <x:f>IF(B185=1,C185,D185)</x:f>
        <x:v>0.1125</x:v>
      </x:c>
      <x:c r="H185" t="n">
        <x:f>G185*E185*F185</x:f>
        <x:v>202201061140.0771</x:v>
      </x:c>
      <x:c r="I185" t="str">
        <x:f>IF(B185=1,"12M ECL","Lifetime ECL")</x:f>
        <x:v>Lifetime ECL</x:v>
      </x:c>
    </x:row>
    <x:row r="186">
      <x:c r="A186" t="str">
        <x:f>'02_Loan_Portfolio'!A186</x:f>
        <x:v>LN00185</x:v>
      </x:c>
      <x:c r="B186" t="n">
        <x:f>'02_Loan_Portfolio'!Q186</x:f>
        <x:v>1</x:v>
      </x:c>
      <x:c r="C186" t="n">
        <x:f>'02_Loan_Portfolio'!N186</x:f>
        <x:v>0.02857</x:v>
      </x:c>
      <x:c r="D186" t="n">
        <x:f>'02_Loan_Portfolio'!R186</x:f>
        <x:v>0.042854</x:v>
      </x:c>
      <x:c r="E186" t="n">
        <x:f>'02_Loan_Portfolio'!O186</x:f>
        <x:v>0.719784</x:v>
      </x:c>
      <x:c r="F186" t="n">
        <x:f>'02_Loan_Portfolio'!P186</x:f>
        <x:v>3114107992606</x:v>
      </x:c>
      <x:c r="G186" t="n">
        <x:f>IF(B186=1,C186,D186)</x:f>
        <x:v>0.02857</x:v>
      </x:c>
      <x:c r="H186" t="n">
        <x:f>G186*E186*F186</x:f>
        <x:v>64039229516.98713</x:v>
      </x:c>
      <x:c r="I186" t="str">
        <x:f>IF(B186=1,"12M ECL","Lifetime ECL")</x:f>
        <x:v>12M ECL</x:v>
      </x:c>
    </x:row>
    <x:row r="187">
      <x:c r="A187" t="str">
        <x:f>'02_Loan_Portfolio'!A187</x:f>
        <x:v>LN00186</x:v>
      </x:c>
      <x:c r="B187" t="n">
        <x:f>'02_Loan_Portfolio'!Q187</x:f>
        <x:v>1</x:v>
      </x:c>
      <x:c r="C187" t="n">
        <x:f>'02_Loan_Portfolio'!N187</x:f>
        <x:v>0.003062</x:v>
      </x:c>
      <x:c r="D187" t="n">
        <x:f>'02_Loan_Portfolio'!R187</x:f>
        <x:v>0.004593</x:v>
      </x:c>
      <x:c r="E187" t="n">
        <x:f>'02_Loan_Portfolio'!O187</x:f>
        <x:v>0.706577</x:v>
      </x:c>
      <x:c r="F187" t="n">
        <x:f>'02_Loan_Portfolio'!P187</x:f>
        <x:v>2689543440067</x:v>
      </x:c>
      <x:c r="G187" t="n">
        <x:f>IF(B187=1,C187,D187)</x:f>
        <x:v>0.003062</x:v>
      </x:c>
      <x:c r="H187" t="n">
        <x:f>G187*E187*F187</x:f>
        <x:v>5818931516.9423</x:v>
      </x:c>
      <x:c r="I187" t="str">
        <x:f>IF(B187=1,"12M ECL","Lifetime ECL")</x:f>
        <x:v>12M ECL</x:v>
      </x:c>
    </x:row>
    <x:row r="188">
      <x:c r="A188" t="str">
        <x:f>'02_Loan_Portfolio'!A188</x:f>
        <x:v>LN00187</x:v>
      </x:c>
      <x:c r="B188" t="n">
        <x:f>'02_Loan_Portfolio'!Q188</x:f>
        <x:v>1</x:v>
      </x:c>
      <x:c r="C188" t="n">
        <x:f>'02_Loan_Portfolio'!N188</x:f>
        <x:v>0.152242</x:v>
      </x:c>
      <x:c r="D188" t="n">
        <x:f>'02_Loan_Portfolio'!R188</x:f>
        <x:v>0.228363</x:v>
      </x:c>
      <x:c r="E188" t="n">
        <x:f>'02_Loan_Portfolio'!O188</x:f>
        <x:v>0.525975</x:v>
      </x:c>
      <x:c r="F188" t="n">
        <x:f>'02_Loan_Portfolio'!P188</x:f>
        <x:v>2193282441718</x:v>
      </x:c>
      <x:c r="G188" t="n">
        <x:f>IF(B188=1,C188,D188)</x:f>
        <x:v>0.152242</x:v>
      </x:c>
      <x:c r="H188" t="n">
        <x:f>G188*E188*F188</x:f>
        <x:v>175628157346.17136</x:v>
      </x:c>
      <x:c r="I188" t="str">
        <x:f>IF(B188=1,"12M ECL","Lifetime ECL")</x:f>
        <x:v>12M ECL</x:v>
      </x:c>
    </x:row>
    <x:row r="189">
      <x:c r="A189" t="str">
        <x:f>'02_Loan_Portfolio'!A189</x:f>
        <x:v>LN00188</x:v>
      </x:c>
      <x:c r="B189" t="n">
        <x:f>'02_Loan_Portfolio'!Q189</x:f>
        <x:v>2</x:v>
      </x:c>
      <x:c r="C189" t="n">
        <x:f>'02_Loan_Portfolio'!N189</x:f>
        <x:v>0.0825</x:v>
      </x:c>
      <x:c r="D189" t="n">
        <x:f>'02_Loan_Portfolio'!R189</x:f>
        <x:v>0.2475</x:v>
      </x:c>
      <x:c r="E189" t="n">
        <x:f>'02_Loan_Portfolio'!O189</x:f>
        <x:v>0.460928</x:v>
      </x:c>
      <x:c r="F189" t="n">
        <x:f>'02_Loan_Portfolio'!P189</x:f>
        <x:v>12095121879</x:v>
      </x:c>
      <x:c r="G189" t="n">
        <x:f>IF(B189=1,C189,D189)</x:f>
        <x:v>0.2475</x:v>
      </x:c>
      <x:c r="H189" t="n">
        <x:f>G189*E189*F189</x:f>
        <x:v>1379807633.5173187</x:v>
      </x:c>
      <x:c r="I189" t="str">
        <x:f>IF(B189=1,"12M ECL","Lifetime ECL")</x:f>
        <x:v>Lifetime ECL</x:v>
      </x:c>
    </x:row>
    <x:row r="190">
      <x:c r="A190" t="str">
        <x:f>'02_Loan_Portfolio'!A190</x:f>
        <x:v>LN00189</x:v>
      </x:c>
      <x:c r="B190" t="n">
        <x:f>'02_Loan_Portfolio'!Q190</x:f>
        <x:v>1</x:v>
      </x:c>
      <x:c r="C190" t="n">
        <x:f>'02_Loan_Portfolio'!N190</x:f>
        <x:v>0.12</x:v>
      </x:c>
      <x:c r="D190" t="n">
        <x:f>'02_Loan_Portfolio'!R190</x:f>
        <x:v>0.18</x:v>
      </x:c>
      <x:c r="E190" t="n">
        <x:f>'02_Loan_Portfolio'!O190</x:f>
        <x:v>0.49181</x:v>
      </x:c>
      <x:c r="F190" t="n">
        <x:f>'02_Loan_Portfolio'!P190</x:f>
        <x:v>1987240681199</x:v>
      </x:c>
      <x:c r="G190" t="n">
        <x:f>IF(B190=1,C190,D190)</x:f>
        <x:v>0.12</x:v>
      </x:c>
      <x:c r="H190" t="n">
        <x:f>G190*E190*F190</x:f>
        <x:v>117281380730.45763</x:v>
      </x:c>
      <x:c r="I190" t="str">
        <x:f>IF(B190=1,"12M ECL","Lifetime ECL")</x:f>
        <x:v>12M ECL</x:v>
      </x:c>
    </x:row>
    <x:row r="191">
      <x:c r="A191" t="str">
        <x:f>'02_Loan_Portfolio'!A191</x:f>
        <x:v>LN00190</x:v>
      </x:c>
      <x:c r="B191" t="n">
        <x:f>'02_Loan_Portfolio'!Q191</x:f>
        <x:v>1</x:v>
      </x:c>
      <x:c r="C191" t="n">
        <x:f>'02_Loan_Portfolio'!N191</x:f>
        <x:v>0.138073</x:v>
      </x:c>
      <x:c r="D191" t="n">
        <x:f>'02_Loan_Portfolio'!R191</x:f>
        <x:v>0.207109</x:v>
      </x:c>
      <x:c r="E191" t="n">
        <x:f>'02_Loan_Portfolio'!O191</x:f>
        <x:v>0.527093</x:v>
      </x:c>
      <x:c r="F191" t="n">
        <x:f>'02_Loan_Portfolio'!P191</x:f>
        <x:v>1381126162747</x:v>
      </x:c>
      <x:c r="G191" t="n">
        <x:f>IF(B191=1,C191,D191)</x:f>
        <x:v>0.138073</x:v>
      </x:c>
      <x:c r="H191" t="n">
        <x:f>G191*E191*F191</x:f>
        <x:v>100514649366.18358</x:v>
      </x:c>
      <x:c r="I191" t="str">
        <x:f>IF(B191=1,"12M ECL","Lifetime ECL")</x:f>
        <x:v>12M ECL</x:v>
      </x:c>
    </x:row>
    <x:row r="192">
      <x:c r="A192" t="str">
        <x:f>'02_Loan_Portfolio'!A192</x:f>
        <x:v>LN00191</x:v>
      </x:c>
      <x:c r="B192" t="n">
        <x:f>'02_Loan_Portfolio'!Q192</x:f>
        <x:v>1</x:v>
      </x:c>
      <x:c r="C192" t="n">
        <x:f>'02_Loan_Portfolio'!N192</x:f>
        <x:v>0.12</x:v>
      </x:c>
      <x:c r="D192" t="n">
        <x:f>'02_Loan_Portfolio'!R192</x:f>
        <x:v>0.18</x:v>
      </x:c>
      <x:c r="E192" t="n">
        <x:f>'02_Loan_Portfolio'!O192</x:f>
        <x:v>0.504445</x:v>
      </x:c>
      <x:c r="F192" t="n">
        <x:f>'02_Loan_Portfolio'!P192</x:f>
        <x:v>619330266894</x:v>
      </x:c>
      <x:c r="G192" t="n">
        <x:f>IF(B192=1,C192,D192)</x:f>
        <x:v>0.12</x:v>
      </x:c>
      <x:c r="H192" t="n">
        <x:f>G192*E192*F192</x:f>
        <x:v>37490166778.00126</x:v>
      </x:c>
      <x:c r="I192" t="str">
        <x:f>IF(B192=1,"12M ECL","Lifetime ECL")</x:f>
        <x:v>12M ECL</x:v>
      </x:c>
    </x:row>
    <x:row r="193">
      <x:c r="A193" t="str">
        <x:f>'02_Loan_Portfolio'!A193</x:f>
        <x:v>LN00192</x:v>
      </x:c>
      <x:c r="B193" t="n">
        <x:f>'02_Loan_Portfolio'!Q193</x:f>
        <x:v>1</x:v>
      </x:c>
      <x:c r="C193" t="n">
        <x:f>'02_Loan_Portfolio'!N193</x:f>
        <x:v>0.015796</x:v>
      </x:c>
      <x:c r="D193" t="n">
        <x:f>'02_Loan_Portfolio'!R193</x:f>
        <x:v>0.023694</x:v>
      </x:c>
      <x:c r="E193" t="n">
        <x:f>'02_Loan_Portfolio'!O193</x:f>
        <x:v>0.35763</x:v>
      </x:c>
      <x:c r="F193" t="n">
        <x:f>'02_Loan_Portfolio'!P193</x:f>
        <x:v>659937005585</x:v>
      </x:c>
      <x:c r="G193" t="n">
        <x:f>IF(B193=1,C193,D193)</x:f>
        <x:v>0.015796</x:v>
      </x:c>
      <x:c r="H193" t="n">
        <x:f>G193*E193*F193</x:f>
        <x:v>3728065633.571115</x:v>
      </x:c>
      <x:c r="I193" t="str">
        <x:f>IF(B193=1,"12M ECL","Lifetime ECL")</x:f>
        <x:v>12M ECL</x:v>
      </x:c>
    </x:row>
    <x:row r="194">
      <x:c r="A194" t="str">
        <x:f>'02_Loan_Portfolio'!A194</x:f>
        <x:v>LN00193</x:v>
      </x:c>
      <x:c r="B194" t="n">
        <x:f>'02_Loan_Portfolio'!Q194</x:f>
        <x:v>1</x:v>
      </x:c>
      <x:c r="C194" t="n">
        <x:f>'02_Loan_Portfolio'!N194</x:f>
        <x:v>0.016429</x:v>
      </x:c>
      <x:c r="D194" t="n">
        <x:f>'02_Loan_Portfolio'!R194</x:f>
        <x:v>0.024643</x:v>
      </x:c>
      <x:c r="E194" t="n">
        <x:f>'02_Loan_Portfolio'!O194</x:f>
        <x:v>0.642866</x:v>
      </x:c>
      <x:c r="F194" t="n">
        <x:f>'02_Loan_Portfolio'!P194</x:f>
        <x:v>340814701119</x:v>
      </x:c>
      <x:c r="G194" t="n">
        <x:f>IF(B194=1,C194,D194)</x:f>
        <x:v>0.016429</x:v>
      </x:c>
      <x:c r="H194" t="n">
        <x:f>G194*E194*F194</x:f>
        <x:v>3599564059.178737</x:v>
      </x:c>
      <x:c r="I194" t="str">
        <x:f>IF(B194=1,"12M ECL","Lifetime ECL")</x:f>
        <x:v>12M ECL</x:v>
      </x:c>
    </x:row>
    <x:row r="195">
      <x:c r="A195" t="str">
        <x:f>'02_Loan_Portfolio'!A195</x:f>
        <x:v>LN00194</x:v>
      </x:c>
      <x:c r="B195" t="n">
        <x:f>'02_Loan_Portfolio'!Q195</x:f>
        <x:v>3</x:v>
      </x:c>
      <x:c r="C195" t="n">
        <x:f>'02_Loan_Portfolio'!N195</x:f>
        <x:v>0.069224</x:v>
      </x:c>
      <x:c r="D195" t="n">
        <x:f>'02_Loan_Portfolio'!R195</x:f>
        <x:v>0.069224</x:v>
      </x:c>
      <x:c r="E195" t="n">
        <x:f>'02_Loan_Portfolio'!O195</x:f>
        <x:v>0.268797</x:v>
      </x:c>
      <x:c r="F195" t="n">
        <x:f>'02_Loan_Portfolio'!P195</x:f>
        <x:v>460532306858</x:v>
      </x:c>
      <x:c r="G195" t="n">
        <x:f>IF(B195=1,C195,D195)</x:f>
        <x:v>0.069224</x:v>
      </x:c>
      <x:c r="H195" t="n">
        <x:f>G195*E195*F195</x:f>
        <x:v>8569218364.926156</x:v>
      </x:c>
      <x:c r="I195" t="str">
        <x:f>IF(B195=1,"12M ECL","Lifetime ECL")</x:f>
        <x:v>Lifetime ECL</x:v>
      </x:c>
    </x:row>
    <x:row r="196">
      <x:c r="A196" t="str">
        <x:f>'02_Loan_Portfolio'!A196</x:f>
        <x:v>LN00195</x:v>
      </x:c>
      <x:c r="B196" t="n">
        <x:f>'02_Loan_Portfolio'!Q196</x:f>
        <x:v>1</x:v>
      </x:c>
      <x:c r="C196" t="n">
        <x:f>'02_Loan_Portfolio'!N196</x:f>
        <x:v>0.027524</x:v>
      </x:c>
      <x:c r="D196" t="n">
        <x:f>'02_Loan_Portfolio'!R196</x:f>
        <x:v>0.041286</x:v>
      </x:c>
      <x:c r="E196" t="n">
        <x:f>'02_Loan_Portfolio'!O196</x:f>
        <x:v>0.74092</x:v>
      </x:c>
      <x:c r="F196" t="n">
        <x:f>'02_Loan_Portfolio'!P196</x:f>
        <x:v>1433639505578</x:v>
      </x:c>
      <x:c r="G196" t="n">
        <x:f>IF(B196=1,C196,D196)</x:f>
        <x:v>0.027524</x:v>
      </x:c>
      <x:c r="H196" t="n">
        <x:f>G196*E196*F196</x:f>
        <x:v>29236328110.38277</x:v>
      </x:c>
      <x:c r="I196" t="str">
        <x:f>IF(B196=1,"12M ECL","Lifetime ECL")</x:f>
        <x:v>12M ECL</x:v>
      </x:c>
    </x:row>
    <x:row r="197">
      <x:c r="A197" t="str">
        <x:f>'02_Loan_Portfolio'!A197</x:f>
        <x:v>LN00196</x:v>
      </x:c>
      <x:c r="B197" t="n">
        <x:f>'02_Loan_Portfolio'!Q197</x:f>
        <x:v>1</x:v>
      </x:c>
      <x:c r="C197" t="n">
        <x:f>'02_Loan_Portfolio'!N197</x:f>
        <x:v>0.409101</x:v>
      </x:c>
      <x:c r="D197" t="n">
        <x:f>'02_Loan_Portfolio'!R197</x:f>
        <x:v>0.613651</x:v>
      </x:c>
      <x:c r="E197" t="n">
        <x:f>'02_Loan_Portfolio'!O197</x:f>
        <x:v>0.576173</x:v>
      </x:c>
      <x:c r="F197" t="n">
        <x:f>'02_Loan_Portfolio'!P197</x:f>
        <x:v>2854393888650</x:v>
      </x:c>
      <x:c r="G197" t="n">
        <x:f>IF(B197=1,C197,D197)</x:f>
        <x:v>0.409101</x:v>
      </x:c>
      <x:c r="H197" t="n">
        <x:f>G197*E197*F197</x:f>
        <x:v>672817605305.7914</x:v>
      </x:c>
      <x:c r="I197" t="str">
        <x:f>IF(B197=1,"12M ECL","Lifetime ECL")</x:f>
        <x:v>12M ECL</x:v>
      </x:c>
    </x:row>
    <x:row r="198">
      <x:c r="A198" t="str">
        <x:f>'02_Loan_Portfolio'!A198</x:f>
        <x:v>LN00197</x:v>
      </x:c>
      <x:c r="B198" t="n">
        <x:f>'02_Loan_Portfolio'!Q198</x:f>
        <x:v>2</x:v>
      </x:c>
      <x:c r="C198" t="n">
        <x:f>'02_Loan_Portfolio'!N198</x:f>
        <x:v>0.190171</x:v>
      </x:c>
      <x:c r="D198" t="n">
        <x:f>'02_Loan_Portfolio'!R198</x:f>
        <x:v>0.570514</x:v>
      </x:c>
      <x:c r="E198" t="n">
        <x:f>'02_Loan_Portfolio'!O198</x:f>
        <x:v>0.740402</x:v>
      </x:c>
      <x:c r="F198" t="n">
        <x:f>'02_Loan_Portfolio'!P198</x:f>
        <x:v>382267126352</x:v>
      </x:c>
      <x:c r="G198" t="n">
        <x:f>IF(B198=1,C198,D198)</x:f>
        <x:v>0.570514</x:v>
      </x:c>
      <x:c r="H198" t="n">
        <x:f>G198*E198*F198</x:f>
        <x:v>161473344695.87692</x:v>
      </x:c>
      <x:c r="I198" t="str">
        <x:f>IF(B198=1,"12M ECL","Lifetime ECL")</x:f>
        <x:v>Lifetime ECL</x:v>
      </x:c>
    </x:row>
    <x:row r="199">
      <x:c r="A199" t="str">
        <x:f>'02_Loan_Portfolio'!A199</x:f>
        <x:v>LN00198</x:v>
      </x:c>
      <x:c r="B199" t="n">
        <x:f>'02_Loan_Portfolio'!Q199</x:f>
        <x:v>1</x:v>
      </x:c>
      <x:c r="C199" t="n">
        <x:f>'02_Loan_Portfolio'!N199</x:f>
        <x:v>0.005246</x:v>
      </x:c>
      <x:c r="D199" t="n">
        <x:f>'02_Loan_Portfolio'!R199</x:f>
        <x:v>0.007869</x:v>
      </x:c>
      <x:c r="E199" t="n">
        <x:f>'02_Loan_Portfolio'!O199</x:f>
        <x:v>0.353925</x:v>
      </x:c>
      <x:c r="F199" t="n">
        <x:f>'02_Loan_Portfolio'!P199</x:f>
        <x:v>2038676389161</x:v>
      </x:c>
      <x:c r="G199" t="n">
        <x:f>IF(B199=1,C199,D199)</x:f>
        <x:v>0.005246</x:v>
      </x:c>
      <x:c r="H199" t="n">
        <x:f>G199*E199*F199</x:f>
        <x:v>3785191186.2633505</x:v>
      </x:c>
      <x:c r="I199" t="str">
        <x:f>IF(B199=1,"12M ECL","Lifetime ECL")</x:f>
        <x:v>12M ECL</x:v>
      </x:c>
    </x:row>
    <x:row r="200">
      <x:c r="A200" t="str">
        <x:f>'02_Loan_Portfolio'!A200</x:f>
        <x:v>LN00199</x:v>
      </x:c>
      <x:c r="B200" t="n">
        <x:f>'02_Loan_Portfolio'!Q200</x:f>
        <x:v>1</x:v>
      </x:c>
      <x:c r="C200" t="n">
        <x:f>'02_Loan_Portfolio'!N200</x:f>
        <x:v>0.055386</x:v>
      </x:c>
      <x:c r="D200" t="n">
        <x:f>'02_Loan_Portfolio'!R200</x:f>
        <x:v>0.083079</x:v>
      </x:c>
      <x:c r="E200" t="n">
        <x:f>'02_Loan_Portfolio'!O200</x:f>
        <x:v>0.523917</x:v>
      </x:c>
      <x:c r="F200" t="n">
        <x:f>'02_Loan_Portfolio'!P200</x:f>
        <x:v>2196654331137</x:v>
      </x:c>
      <x:c r="G200" t="n">
        <x:f>IF(B200=1,C200,D200)</x:f>
        <x:v>0.055386</x:v>
      </x:c>
      <x:c r="H200" t="n">
        <x:f>G200*E200*F200</x:f>
        <x:v>63741783811.56833</x:v>
      </x:c>
      <x:c r="I200" t="str">
        <x:f>IF(B200=1,"12M ECL","Lifetime ECL")</x:f>
        <x:v>12M ECL</x:v>
      </x:c>
    </x:row>
    <x:row r="201">
      <x:c r="A201" t="str">
        <x:f>'02_Loan_Portfolio'!A201</x:f>
        <x:v>LN00200</x:v>
      </x:c>
      <x:c r="B201" t="n">
        <x:f>'02_Loan_Portfolio'!Q201</x:f>
        <x:v>2</x:v>
      </x:c>
      <x:c r="C201" t="n">
        <x:f>'02_Loan_Portfolio'!N201</x:f>
        <x:v>0.182579</x:v>
      </x:c>
      <x:c r="D201" t="n">
        <x:f>'02_Loan_Portfolio'!R201</x:f>
        <x:v>0.547738</x:v>
      </x:c>
      <x:c r="E201" t="n">
        <x:f>'02_Loan_Portfolio'!O201</x:f>
        <x:v>0.685711</x:v>
      </x:c>
      <x:c r="F201" t="n">
        <x:f>'02_Loan_Portfolio'!P201</x:f>
        <x:v>1642801708675</x:v>
      </x:c>
      <x:c r="G201" t="n">
        <x:f>IF(B201=1,C201,D201)</x:f>
        <x:v>0.547738</x:v>
      </x:c>
      <x:c r="H201" t="n">
        <x:f>G201*E201*F201</x:f>
        <x:v>617019847299.5253</x:v>
      </x:c>
      <x:c r="I201" t="str">
        <x:f>IF(B201=1,"12M ECL","Lifetime ECL")</x:f>
        <x:v>Lifetime ECL</x:v>
      </x:c>
    </x:row>
    <x:row r="202">
      <x:c r="A202" t="str">
        <x:f>'02_Loan_Portfolio'!A202</x:f>
        <x:v>LN00201</x:v>
      </x:c>
      <x:c r="B202" t="n">
        <x:f>'02_Loan_Portfolio'!Q202</x:f>
        <x:v>3</x:v>
      </x:c>
      <x:c r="C202" t="n">
        <x:f>'02_Loan_Portfolio'!N202</x:f>
        <x:v>0.886667</x:v>
      </x:c>
      <x:c r="D202" t="n">
        <x:f>'02_Loan_Portfolio'!R202</x:f>
        <x:v>0.886667</x:v>
      </x:c>
      <x:c r="E202" t="n">
        <x:f>'02_Loan_Portfolio'!O202</x:f>
        <x:v>0.480279</x:v>
      </x:c>
      <x:c r="F202" t="n">
        <x:f>'02_Loan_Portfolio'!P202</x:f>
        <x:v>1122427138231</x:v>
      </x:c>
      <x:c r="G202" t="n">
        <x:f>IF(B202=1,C202,D202)</x:f>
        <x:v>0.886667</x:v>
      </x:c>
      <x:c r="H202" t="n">
        <x:f>G202*E202*F202</x:f>
        <x:v>477982835749.29706</x:v>
      </x:c>
      <x:c r="I202" t="str">
        <x:f>IF(B202=1,"12M ECL","Lifetime ECL")</x:f>
        <x:v>Lifetime ECL</x:v>
      </x:c>
    </x:row>
    <x:row r="203">
      <x:c r="A203" t="str">
        <x:f>'02_Loan_Portfolio'!A203</x:f>
        <x:v>LN00202</x:v>
      </x:c>
      <x:c r="B203" t="n">
        <x:f>'02_Loan_Portfolio'!Q203</x:f>
        <x:v>2</x:v>
      </x:c>
      <x:c r="C203" t="n">
        <x:f>'02_Loan_Portfolio'!N203</x:f>
        <x:v>0.583333</x:v>
      </x:c>
      <x:c r="D203" t="n">
        <x:f>'02_Loan_Portfolio'!R203</x:f>
        <x:v>0.99</x:v>
      </x:c>
      <x:c r="E203" t="n">
        <x:f>'02_Loan_Portfolio'!O203</x:f>
        <x:v>0.385704</x:v>
      </x:c>
      <x:c r="F203" t="n">
        <x:f>'02_Loan_Portfolio'!P203</x:f>
        <x:v>1493233664096</x:v>
      </x:c>
      <x:c r="G203" t="n">
        <x:f>IF(B203=1,C203,D203)</x:f>
        <x:v>0.99</x:v>
      </x:c>
      <x:c r="H203" t="n">
        <x:f>G203*E203*F203</x:f>
        <x:v>570186735204.7188</x:v>
      </x:c>
      <x:c r="I203" t="str">
        <x:f>IF(B203=1,"12M ECL","Lifetime ECL")</x:f>
        <x:v>Lifetime ECL</x:v>
      </x:c>
    </x:row>
    <x:row r="204">
      <x:c r="A204" t="str">
        <x:f>'02_Loan_Portfolio'!A204</x:f>
        <x:v>LN00203</x:v>
      </x:c>
      <x:c r="B204" t="n">
        <x:f>'02_Loan_Portfolio'!Q204</x:f>
        <x:v>1</x:v>
      </x:c>
      <x:c r="C204" t="n">
        <x:f>'02_Loan_Portfolio'!N204</x:f>
        <x:v>0.409937</x:v>
      </x:c>
      <x:c r="D204" t="n">
        <x:f>'02_Loan_Portfolio'!R204</x:f>
        <x:v>0.614905</x:v>
      </x:c>
      <x:c r="E204" t="n">
        <x:f>'02_Loan_Portfolio'!O204</x:f>
        <x:v>0.636623</x:v>
      </x:c>
      <x:c r="F204" t="n">
        <x:f>'02_Loan_Portfolio'!P204</x:f>
        <x:v>2023735281566</x:v>
      </x:c>
      <x:c r="G204" t="n">
        <x:f>IF(B204=1,C204,D204)</x:f>
        <x:v>0.409937</x:v>
      </x:c>
      <x:c r="H204" t="n">
        <x:f>G204*E204*F204</x:f>
        <x:v>528144968269.2727</x:v>
      </x:c>
      <x:c r="I204" t="str">
        <x:f>IF(B204=1,"12M ECL","Lifetime ECL")</x:f>
        <x:v>12M ECL</x:v>
      </x:c>
    </x:row>
    <x:row r="205">
      <x:c r="A205" t="str">
        <x:f>'02_Loan_Portfolio'!A205</x:f>
        <x:v>LN00204</x:v>
      </x:c>
      <x:c r="B205" t="n">
        <x:f>'02_Loan_Portfolio'!Q205</x:f>
        <x:v>1</x:v>
      </x:c>
      <x:c r="C205" t="n">
        <x:f>'02_Loan_Portfolio'!N205</x:f>
        <x:v>0.005</x:v>
      </x:c>
      <x:c r="D205" t="n">
        <x:f>'02_Loan_Portfolio'!R205</x:f>
        <x:v>0.0075</x:v>
      </x:c>
      <x:c r="E205" t="n">
        <x:f>'02_Loan_Portfolio'!O205</x:f>
        <x:v>0.631642</x:v>
      </x:c>
      <x:c r="F205" t="n">
        <x:f>'02_Loan_Portfolio'!P205</x:f>
        <x:v>586273408598</x:v>
      </x:c>
      <x:c r="G205" t="n">
        <x:f>IF(B205=1,C205,D205)</x:f>
        <x:v>0.005</x:v>
      </x:c>
      <x:c r="H205" t="n">
        <x:f>G205*E205*F205</x:f>
        <x:v>1851574541.7682898</x:v>
      </x:c>
      <x:c r="I205" t="str">
        <x:f>IF(B205=1,"12M ECL","Lifetime ECL")</x:f>
        <x:v>12M ECL</x:v>
      </x:c>
    </x:row>
    <x:row r="206">
      <x:c r="A206" t="str">
        <x:f>'02_Loan_Portfolio'!A206</x:f>
        <x:v>LN00205</x:v>
      </x:c>
      <x:c r="B206" t="n">
        <x:f>'02_Loan_Portfolio'!Q206</x:f>
        <x:v>1</x:v>
      </x:c>
      <x:c r="C206" t="n">
        <x:f>'02_Loan_Portfolio'!N206</x:f>
        <x:v>0.083445</x:v>
      </x:c>
      <x:c r="D206" t="n">
        <x:f>'02_Loan_Portfolio'!R206</x:f>
        <x:v>0.125168</x:v>
      </x:c>
      <x:c r="E206" t="n">
        <x:f>'02_Loan_Portfolio'!O206</x:f>
        <x:v>0.523594</x:v>
      </x:c>
      <x:c r="F206" t="n">
        <x:f>'02_Loan_Portfolio'!P206</x:f>
        <x:v>2945948249435</x:v>
      </x:c>
      <x:c r="G206" t="n">
        <x:f>IF(B206=1,C206,D206)</x:f>
        <x:v>0.083445</x:v>
      </x:c>
      <x:c r="H206" t="n">
        <x:f>G206*E206*F206</x:f>
        <x:v>128712312668.65059</x:v>
      </x:c>
      <x:c r="I206" t="str">
        <x:f>IF(B206=1,"12M ECL","Lifetime ECL")</x:f>
        <x:v>12M ECL</x:v>
      </x:c>
    </x:row>
    <x:row r="207">
      <x:c r="A207" t="str">
        <x:f>'02_Loan_Portfolio'!A207</x:f>
        <x:v>LN00206</x:v>
      </x:c>
      <x:c r="B207" t="n">
        <x:f>'02_Loan_Portfolio'!Q207</x:f>
        <x:v>1</x:v>
      </x:c>
      <x:c r="C207" t="n">
        <x:f>'02_Loan_Portfolio'!N207</x:f>
        <x:v>0.015</x:v>
      </x:c>
      <x:c r="D207" t="n">
        <x:f>'02_Loan_Portfolio'!R207</x:f>
        <x:v>0.0225</x:v>
      </x:c>
      <x:c r="E207" t="n">
        <x:f>'02_Loan_Portfolio'!O207</x:f>
        <x:v>0.478627</x:v>
      </x:c>
      <x:c r="F207" t="n">
        <x:f>'02_Loan_Portfolio'!P207</x:f>
        <x:v>2065844413767</x:v>
      </x:c>
      <x:c r="G207" t="n">
        <x:f>IF(B207=1,C207,D207)</x:f>
        <x:v>0.015</x:v>
      </x:c>
      <x:c r="H207" t="n">
        <x:f>G207*E207*F207</x:f>
        <x:v>14831533713.420868</x:v>
      </x:c>
      <x:c r="I207" t="str">
        <x:f>IF(B207=1,"12M ECL","Lifetime ECL")</x:f>
        <x:v>12M ECL</x:v>
      </x:c>
    </x:row>
    <x:row r="208">
      <x:c r="A208" t="str">
        <x:f>'02_Loan_Portfolio'!A208</x:f>
        <x:v>LN00207</x:v>
      </x:c>
      <x:c r="B208" t="n">
        <x:f>'02_Loan_Portfolio'!Q208</x:f>
        <x:v>1</x:v>
      </x:c>
      <x:c r="C208" t="n">
        <x:f>'02_Loan_Portfolio'!N208</x:f>
        <x:v>0.012</x:v>
      </x:c>
      <x:c r="D208" t="n">
        <x:f>'02_Loan_Portfolio'!R208</x:f>
        <x:v>0.018</x:v>
      </x:c>
      <x:c r="E208" t="n">
        <x:f>'02_Loan_Portfolio'!O208</x:f>
        <x:v>0.674003</x:v>
      </x:c>
      <x:c r="F208" t="n">
        <x:f>'02_Loan_Portfolio'!P208</x:f>
        <x:v>767899883245</x:v>
      </x:c>
      <x:c r="G208" t="n">
        <x:f>IF(B208=1,C208,D208)</x:f>
        <x:v>0.012</x:v>
      </x:c>
      <x:c r="H208" t="n">
        <x:f>G208*E208*F208</x:f>
        <x:v>6210801900.081357</x:v>
      </x:c>
      <x:c r="I208" t="str">
        <x:f>IF(B208=1,"12M ECL","Lifetime ECL")</x:f>
        <x:v>12M ECL</x:v>
      </x:c>
    </x:row>
    <x:row r="209">
      <x:c r="A209" t="str">
        <x:f>'02_Loan_Portfolio'!A209</x:f>
        <x:v>LN00208</x:v>
      </x:c>
      <x:c r="B209" t="n">
        <x:f>'02_Loan_Portfolio'!Q209</x:f>
        <x:v>1</x:v>
      </x:c>
      <x:c r="C209" t="n">
        <x:f>'02_Loan_Portfolio'!N209</x:f>
        <x:v>0.002562</x:v>
      </x:c>
      <x:c r="D209" t="n">
        <x:f>'02_Loan_Portfolio'!R209</x:f>
        <x:v>0.003843</x:v>
      </x:c>
      <x:c r="E209" t="n">
        <x:f>'02_Loan_Portfolio'!O209</x:f>
        <x:v>0.556597</x:v>
      </x:c>
      <x:c r="F209" t="n">
        <x:f>'02_Loan_Portfolio'!P209</x:f>
        <x:v>791746822583</x:v>
      </x:c>
      <x:c r="G209" t="n">
        <x:f>IF(B209=1,C209,D209)</x:f>
        <x:v>0.002562</x:v>
      </x:c>
      <x:c r="H209" t="n">
        <x:f>G209*E209*F209</x:f>
        <x:v>1129032167.7080474</x:v>
      </x:c>
      <x:c r="I209" t="str">
        <x:f>IF(B209=1,"12M ECL","Lifetime ECL")</x:f>
        <x:v>12M ECL</x:v>
      </x:c>
    </x:row>
    <x:row r="210">
      <x:c r="A210" t="str">
        <x:f>'02_Loan_Portfolio'!A210</x:f>
        <x:v>LN00209</x:v>
      </x:c>
      <x:c r="B210" t="n">
        <x:f>'02_Loan_Portfolio'!Q210</x:f>
        <x:v>1</x:v>
      </x:c>
      <x:c r="C210" t="n">
        <x:f>'02_Loan_Portfolio'!N210</x:f>
        <x:v>0.025</x:v>
      </x:c>
      <x:c r="D210" t="n">
        <x:f>'02_Loan_Portfolio'!R210</x:f>
        <x:v>0.0375</x:v>
      </x:c>
      <x:c r="E210" t="n">
        <x:f>'02_Loan_Portfolio'!O210</x:f>
        <x:v>0.585685</x:v>
      </x:c>
      <x:c r="F210" t="n">
        <x:f>'02_Loan_Portfolio'!P210</x:f>
        <x:v>1254461425697</x:v>
      </x:c>
      <x:c r="G210" t="n">
        <x:f>IF(B210=1,C210,D210)</x:f>
        <x:v>0.025</x:v>
      </x:c>
      <x:c r="H210" t="n">
        <x:f>G210*E210*F210</x:f>
        <x:v>18367981002.73369</x:v>
      </x:c>
      <x:c r="I210" t="str">
        <x:f>IF(B210=1,"12M ECL","Lifetime ECL")</x:f>
        <x:v>12M ECL</x:v>
      </x:c>
    </x:row>
    <x:row r="211">
      <x:c r="A211" t="str">
        <x:f>'02_Loan_Portfolio'!A211</x:f>
        <x:v>LN00210</x:v>
      </x:c>
      <x:c r="B211" t="n">
        <x:f>'02_Loan_Portfolio'!Q211</x:f>
        <x:v>2</x:v>
      </x:c>
      <x:c r="C211" t="n">
        <x:f>'02_Loan_Portfolio'!N211</x:f>
        <x:v>0.013027</x:v>
      </x:c>
      <x:c r="D211" t="n">
        <x:f>'02_Loan_Portfolio'!R211</x:f>
        <x:v>0.039082</x:v>
      </x:c>
      <x:c r="E211" t="n">
        <x:f>'02_Loan_Portfolio'!O211</x:f>
        <x:v>0.503916</x:v>
      </x:c>
      <x:c r="F211" t="n">
        <x:f>'02_Loan_Portfolio'!P211</x:f>
        <x:v>651217821722</x:v>
      </x:c>
      <x:c r="G211" t="n">
        <x:f>IF(B211=1,C211,D211)</x:f>
        <x:v>0.039082</x:v>
      </x:c>
      <x:c r="H211" t="n">
        <x:f>G211*E211*F211</x:f>
        <x:v>12825113158.731441</x:v>
      </x:c>
      <x:c r="I211" t="str">
        <x:f>IF(B211=1,"12M ECL","Lifetime ECL")</x:f>
        <x:v>Lifetime ECL</x:v>
      </x:c>
    </x:row>
    <x:row r="212">
      <x:c r="A212" t="str">
        <x:f>'02_Loan_Portfolio'!A212</x:f>
        <x:v>LN00211</x:v>
      </x:c>
      <x:c r="B212" t="n">
        <x:f>'02_Loan_Portfolio'!Q212</x:f>
        <x:v>1</x:v>
      </x:c>
      <x:c r="C212" t="n">
        <x:f>'02_Loan_Portfolio'!N212</x:f>
        <x:v>0.013553</x:v>
      </x:c>
      <x:c r="D212" t="n">
        <x:f>'02_Loan_Portfolio'!R212</x:f>
        <x:v>0.020329</x:v>
      </x:c>
      <x:c r="E212" t="n">
        <x:f>'02_Loan_Portfolio'!O212</x:f>
        <x:v>0.57747</x:v>
      </x:c>
      <x:c r="F212" t="n">
        <x:f>'02_Loan_Portfolio'!P212</x:f>
        <x:v>637190661056</x:v>
      </x:c>
      <x:c r="G212" t="n">
        <x:f>IF(B212=1,C212,D212)</x:f>
        <x:v>0.013553</x:v>
      </x:c>
      <x:c r="H212" t="n">
        <x:f>G212*E212*F212</x:f>
        <x:v>4986941429.065233</x:v>
      </x:c>
      <x:c r="I212" t="str">
        <x:f>IF(B212=1,"12M ECL","Lifetime ECL")</x:f>
        <x:v>12M ECL</x:v>
      </x:c>
    </x:row>
    <x:row r="213">
      <x:c r="A213" t="str">
        <x:f>'02_Loan_Portfolio'!A213</x:f>
        <x:v>LN00212</x:v>
      </x:c>
      <x:c r="B213" t="n">
        <x:f>'02_Loan_Portfolio'!Q213</x:f>
        <x:v>1</x:v>
      </x:c>
      <x:c r="C213" t="n">
        <x:f>'02_Loan_Portfolio'!N213</x:f>
        <x:v>0.012</x:v>
      </x:c>
      <x:c r="D213" t="n">
        <x:f>'02_Loan_Portfolio'!R213</x:f>
        <x:v>0.018</x:v>
      </x:c>
      <x:c r="E213" t="n">
        <x:f>'02_Loan_Portfolio'!O213</x:f>
        <x:v>0.751398</x:v>
      </x:c>
      <x:c r="F213" t="n">
        <x:f>'02_Loan_Portfolio'!P213</x:f>
        <x:v>1104831841461</x:v>
      </x:c>
      <x:c r="G213" t="n">
        <x:f>IF(B213=1,C213,D213)</x:f>
        <x:v>0.012</x:v>
      </x:c>
      <x:c r="H213" t="n">
        <x:f>G213*E213*F213</x:f>
        <x:v>9962021232.121351</x:v>
      </x:c>
      <x:c r="I213" t="str">
        <x:f>IF(B213=1,"12M ECL","Lifetime ECL")</x:f>
        <x:v>12M ECL</x:v>
      </x:c>
    </x:row>
    <x:row r="214">
      <x:c r="A214" t="str">
        <x:f>'02_Loan_Portfolio'!A214</x:f>
        <x:v>LN00213</x:v>
      </x:c>
      <x:c r="B214" t="n">
        <x:f>'02_Loan_Portfolio'!Q214</x:f>
        <x:v>1</x:v>
      </x:c>
      <x:c r="C214" t="n">
        <x:f>'02_Loan_Portfolio'!N214</x:f>
        <x:v>0.030403</x:v>
      </x:c>
      <x:c r="D214" t="n">
        <x:f>'02_Loan_Portfolio'!R214</x:f>
        <x:v>0.045605</x:v>
      </x:c>
      <x:c r="E214" t="n">
        <x:f>'02_Loan_Portfolio'!O214</x:f>
        <x:v>0.68492</x:v>
      </x:c>
      <x:c r="F214" t="n">
        <x:f>'02_Loan_Portfolio'!P214</x:f>
        <x:v>2782606700330</x:v>
      </x:c>
      <x:c r="G214" t="n">
        <x:f>IF(B214=1,C214,D214)</x:f>
        <x:v>0.030403</x:v>
      </x:c>
      <x:c r="H214" t="n">
        <x:f>G214*E214*F214</x:f>
        <x:v>57943952217.120285</x:v>
      </x:c>
      <x:c r="I214" t="str">
        <x:f>IF(B214=1,"12M ECL","Lifetime ECL")</x:f>
        <x:v>12M ECL</x:v>
      </x:c>
    </x:row>
    <x:row r="215">
      <x:c r="A215" t="str">
        <x:f>'02_Loan_Portfolio'!A215</x:f>
        <x:v>LN00214</x:v>
      </x:c>
      <x:c r="B215" t="n">
        <x:f>'02_Loan_Portfolio'!Q215</x:f>
        <x:v>2</x:v>
      </x:c>
      <x:c r="C215" t="n">
        <x:f>'02_Loan_Portfolio'!N215</x:f>
        <x:v>0.18</x:v>
      </x:c>
      <x:c r="D215" t="n">
        <x:f>'02_Loan_Portfolio'!R215</x:f>
        <x:v>0.54</x:v>
      </x:c>
      <x:c r="E215" t="n">
        <x:f>'02_Loan_Portfolio'!O215</x:f>
        <x:v>0.572085</x:v>
      </x:c>
      <x:c r="F215" t="n">
        <x:f>'02_Loan_Portfolio'!P215</x:f>
        <x:v>2945297054115</x:v>
      </x:c>
      <x:c r="G215" t="n">
        <x:f>IF(B215=1,C215,D215)</x:f>
        <x:v>0.54</x:v>
      </x:c>
      <x:c r="H215" t="n">
        <x:f>G215*E215*F215</x:f>
        <x:v>909878543209.825</x:v>
      </x:c>
      <x:c r="I215" t="str">
        <x:f>IF(B215=1,"12M ECL","Lifetime ECL")</x:f>
        <x:v>Lifetime ECL</x:v>
      </x:c>
    </x:row>
    <x:row r="216">
      <x:c r="A216" t="str">
        <x:f>'02_Loan_Portfolio'!A216</x:f>
        <x:v>LN00215</x:v>
      </x:c>
      <x:c r="B216" t="n">
        <x:f>'02_Loan_Portfolio'!Q216</x:f>
        <x:v>1</x:v>
      </x:c>
      <x:c r="C216" t="n">
        <x:f>'02_Loan_Portfolio'!N216</x:f>
        <x:v>0.130731</x:v>
      </x:c>
      <x:c r="D216" t="n">
        <x:f>'02_Loan_Portfolio'!R216</x:f>
        <x:v>0.196096</x:v>
      </x:c>
      <x:c r="E216" t="n">
        <x:f>'02_Loan_Portfolio'!O216</x:f>
        <x:v>0.575824</x:v>
      </x:c>
      <x:c r="F216" t="n">
        <x:f>'02_Loan_Portfolio'!P216</x:f>
        <x:v>3019438195748</x:v>
      </x:c>
      <x:c r="G216" t="n">
        <x:f>IF(B216=1,C216,D216)</x:f>
        <x:v>0.130731</x:v>
      </x:c>
      <x:c r="H216" t="n">
        <x:f>G216*E216*F216</x:f>
        <x:v>227297411451.79993</x:v>
      </x:c>
      <x:c r="I216" t="str">
        <x:f>IF(B216=1,"12M ECL","Lifetime ECL")</x:f>
        <x:v>12M ECL</x:v>
      </x:c>
    </x:row>
    <x:row r="217">
      <x:c r="A217" t="str">
        <x:f>'02_Loan_Portfolio'!A217</x:f>
        <x:v>LN00216</x:v>
      </x:c>
      <x:c r="B217" t="n">
        <x:f>'02_Loan_Portfolio'!Q217</x:f>
        <x:v>1</x:v>
      </x:c>
      <x:c r="C217" t="n">
        <x:f>'02_Loan_Portfolio'!N217</x:f>
        <x:v>0.03125</x:v>
      </x:c>
      <x:c r="D217" t="n">
        <x:f>'02_Loan_Portfolio'!R217</x:f>
        <x:v>0.046875</x:v>
      </x:c>
      <x:c r="E217" t="n">
        <x:f>'02_Loan_Portfolio'!O217</x:f>
        <x:v>0.395044</x:v>
      </x:c>
      <x:c r="F217" t="n">
        <x:f>'02_Loan_Portfolio'!P217</x:f>
        <x:v>3473509486079</x:v>
      </x:c>
      <x:c r="G217" t="n">
        <x:f>IF(B217=1,C217,D217)</x:f>
        <x:v>0.03125</x:v>
      </x:c>
      <x:c r="H217" t="n">
        <x:f>G217*E217*F217</x:f>
        <x:v>42880908794.33102</x:v>
      </x:c>
      <x:c r="I217" t="str">
        <x:f>IF(B217=1,"12M ECL","Lifetime ECL")</x:f>
        <x:v>12M ECL</x:v>
      </x:c>
    </x:row>
    <x:row r="218">
      <x:c r="A218" t="str">
        <x:f>'02_Loan_Portfolio'!A218</x:f>
        <x:v>LN00217</x:v>
      </x:c>
      <x:c r="B218" t="n">
        <x:f>'02_Loan_Portfolio'!Q218</x:f>
        <x:v>1</x:v>
      </x:c>
      <x:c r="C218" t="n">
        <x:f>'02_Loan_Portfolio'!N218</x:f>
        <x:v>0.13</x:v>
      </x:c>
      <x:c r="D218" t="n">
        <x:f>'02_Loan_Portfolio'!R218</x:f>
        <x:v>0.195</x:v>
      </x:c>
      <x:c r="E218" t="n">
        <x:f>'02_Loan_Portfolio'!O218</x:f>
        <x:v>0.496138</x:v>
      </x:c>
      <x:c r="F218" t="n">
        <x:f>'02_Loan_Portfolio'!P218</x:f>
        <x:v>1835211199869</x:v>
      </x:c>
      <x:c r="G218" t="n">
        <x:f>IF(B218=1,C218,D218)</x:f>
        <x:v>0.13</x:v>
      </x:c>
      <x:c r="H218" t="n">
        <x:f>G218*E218*F218</x:f>
        <x:v>118367341856.47878</x:v>
      </x:c>
      <x:c r="I218" t="str">
        <x:f>IF(B218=1,"12M ECL","Lifetime ECL")</x:f>
        <x:v>12M ECL</x:v>
      </x:c>
    </x:row>
    <x:row r="219">
      <x:c r="A219" t="str">
        <x:f>'02_Loan_Portfolio'!A219</x:f>
        <x:v>LN00218</x:v>
      </x:c>
      <x:c r="B219" t="n">
        <x:f>'02_Loan_Portfolio'!Q219</x:f>
        <x:v>2</x:v>
      </x:c>
      <x:c r="C219" t="n">
        <x:f>'02_Loan_Portfolio'!N219</x:f>
        <x:v>0.045833</x:v>
      </x:c>
      <x:c r="D219" t="n">
        <x:f>'02_Loan_Portfolio'!R219</x:f>
        <x:v>0.1375</x:v>
      </x:c>
      <x:c r="E219" t="n">
        <x:f>'02_Loan_Portfolio'!O219</x:f>
        <x:v>0.603122</x:v>
      </x:c>
      <x:c r="F219" t="n">
        <x:f>'02_Loan_Portfolio'!P219</x:f>
        <x:v>93578503407</x:v>
      </x:c>
      <x:c r="G219" t="n">
        <x:f>IF(B219=1,C219,D219)</x:f>
        <x:v>0.1375</x:v>
      </x:c>
      <x:c r="H219" t="n">
        <x:f>G219*E219*F219</x:f>
        <x:v>7760397443.127541</x:v>
      </x:c>
      <x:c r="I219" t="str">
        <x:f>IF(B219=1,"12M ECL","Lifetime ECL")</x:f>
        <x:v>Lifetime ECL</x:v>
      </x:c>
    </x:row>
    <x:row r="220">
      <x:c r="A220" t="str">
        <x:f>'02_Loan_Portfolio'!A220</x:f>
        <x:v>LN00219</x:v>
      </x:c>
      <x:c r="B220" t="n">
        <x:f>'02_Loan_Portfolio'!Q220</x:f>
        <x:v>1</x:v>
      </x:c>
      <x:c r="C220" t="n">
        <x:f>'02_Loan_Portfolio'!N220</x:f>
        <x:v>0.034944</x:v>
      </x:c>
      <x:c r="D220" t="n">
        <x:f>'02_Loan_Portfolio'!R220</x:f>
        <x:v>0.052416</x:v>
      </x:c>
      <x:c r="E220" t="n">
        <x:f>'02_Loan_Portfolio'!O220</x:f>
        <x:v>0.56584</x:v>
      </x:c>
      <x:c r="F220" t="n">
        <x:f>'02_Loan_Portfolio'!P220</x:f>
        <x:v>2767059467955</x:v>
      </x:c>
      <x:c r="G220" t="n">
        <x:f>IF(B220=1,C220,D220)</x:f>
        <x:v>0.034944</x:v>
      </x:c>
      <x:c r="H220" t="n">
        <x:f>G220*E220*F220</x:f>
        <x:v>54712272603.124535</x:v>
      </x:c>
      <x:c r="I220" t="str">
        <x:f>IF(B220=1,"12M ECL","Lifetime ECL")</x:f>
        <x:v>12M ECL</x:v>
      </x:c>
    </x:row>
    <x:row r="221">
      <x:c r="A221" t="str">
        <x:f>'02_Loan_Portfolio'!A221</x:f>
        <x:v>LN00220</x:v>
      </x:c>
      <x:c r="B221" t="n">
        <x:f>'02_Loan_Portfolio'!Q221</x:f>
        <x:v>2</x:v>
      </x:c>
      <x:c r="C221" t="n">
        <x:f>'02_Loan_Portfolio'!N221</x:f>
        <x:v>0.100181</x:v>
      </x:c>
      <x:c r="D221" t="n">
        <x:f>'02_Loan_Portfolio'!R221</x:f>
        <x:v>0.300544</x:v>
      </x:c>
      <x:c r="E221" t="n">
        <x:f>'02_Loan_Portfolio'!O221</x:f>
        <x:v>0.257093</x:v>
      </x:c>
      <x:c r="F221" t="n">
        <x:f>'02_Loan_Portfolio'!P221</x:f>
        <x:v>2353773878788</x:v>
      </x:c>
      <x:c r="G221" t="n">
        <x:f>IF(B221=1,C221,D221)</x:f>
        <x:v>0.300544</x:v>
      </x:c>
      <x:c r="H221" t="n">
        <x:f>G221*E221*F221</x:f>
        <x:v>181870831846.34665</x:v>
      </x:c>
      <x:c r="I221" t="str">
        <x:f>IF(B221=1,"12M ECL","Lifetime ECL")</x:f>
        <x:v>Lifetime ECL</x:v>
      </x:c>
    </x:row>
    <x:row r="222">
      <x:c r="A222" t="str">
        <x:f>'02_Loan_Portfolio'!A222</x:f>
        <x:v>LN00221</x:v>
      </x:c>
      <x:c r="B222" t="n">
        <x:f>'02_Loan_Portfolio'!Q222</x:f>
        <x:v>2</x:v>
      </x:c>
      <x:c r="C222" t="n">
        <x:f>'02_Loan_Portfolio'!N222</x:f>
        <x:v>0.200793</x:v>
      </x:c>
      <x:c r="D222" t="n">
        <x:f>'02_Loan_Portfolio'!R222</x:f>
        <x:v>0.602378</x:v>
      </x:c>
      <x:c r="E222" t="n">
        <x:f>'02_Loan_Portfolio'!O222</x:f>
        <x:v>0.412103</x:v>
      </x:c>
      <x:c r="F222" t="n">
        <x:f>'02_Loan_Portfolio'!P222</x:f>
        <x:v>2807359837963</x:v>
      </x:c>
      <x:c r="G222" t="n">
        <x:f>IF(B222=1,C222,D222)</x:f>
        <x:v>0.602378</x:v>
      </x:c>
      <x:c r="H222" t="n">
        <x:f>G222*E222*F222</x:f>
        <x:v>696904005898.5208</x:v>
      </x:c>
      <x:c r="I222" t="str">
        <x:f>IF(B222=1,"12M ECL","Lifetime ECL")</x:f>
        <x:v>Lifetime ECL</x:v>
      </x:c>
    </x:row>
    <x:row r="223">
      <x:c r="A223" t="str">
        <x:f>'02_Loan_Portfolio'!A223</x:f>
        <x:v>LN00222</x:v>
      </x:c>
      <x:c r="B223" t="n">
        <x:f>'02_Loan_Portfolio'!Q223</x:f>
        <x:v>1</x:v>
      </x:c>
      <x:c r="C223" t="n">
        <x:f>'02_Loan_Portfolio'!N223</x:f>
        <x:v>0.00625</x:v>
      </x:c>
      <x:c r="D223" t="n">
        <x:f>'02_Loan_Portfolio'!R223</x:f>
        <x:v>0.009375</x:v>
      </x:c>
      <x:c r="E223" t="n">
        <x:f>'02_Loan_Portfolio'!O223</x:f>
        <x:v>0.363781</x:v>
      </x:c>
      <x:c r="F223" t="n">
        <x:f>'02_Loan_Portfolio'!P223</x:f>
        <x:v>1014612132076</x:v>
      </x:c>
      <x:c r="G223" t="n">
        <x:f>IF(B223=1,C223,D223)</x:f>
        <x:v>0.00625</x:v>
      </x:c>
      <x:c r="H223" t="n">
        <x:f>G223*E223*F223</x:f>
        <x:v>2306853850.117121</x:v>
      </x:c>
      <x:c r="I223" t="str">
        <x:f>IF(B223=1,"12M ECL","Lifetime ECL")</x:f>
        <x:v>12M ECL</x:v>
      </x:c>
    </x:row>
    <x:row r="224">
      <x:c r="A224" t="str">
        <x:f>'02_Loan_Portfolio'!A224</x:f>
        <x:v>LN00223</x:v>
      </x:c>
      <x:c r="B224" t="n">
        <x:f>'02_Loan_Portfolio'!Q224</x:f>
        <x:v>1</x:v>
      </x:c>
      <x:c r="C224" t="n">
        <x:f>'02_Loan_Portfolio'!N224</x:f>
        <x:v>0.151186</x:v>
      </x:c>
      <x:c r="D224" t="n">
        <x:f>'02_Loan_Portfolio'!R224</x:f>
        <x:v>0.22678</x:v>
      </x:c>
      <x:c r="E224" t="n">
        <x:f>'02_Loan_Portfolio'!O224</x:f>
        <x:v>0.497776</x:v>
      </x:c>
      <x:c r="F224" t="n">
        <x:f>'02_Loan_Portfolio'!P224</x:f>
        <x:v>959704996530</x:v>
      </x:c>
      <x:c r="G224" t="n">
        <x:f>IF(B224=1,C224,D224)</x:f>
        <x:v>0.151186</x:v>
      </x:c>
      <x:c r="H224" t="n">
        <x:f>G224*E224*F224</x:f>
        <x:v>72224290836.5299</x:v>
      </x:c>
      <x:c r="I224" t="str">
        <x:f>IF(B224=1,"12M ECL","Lifetime ECL")</x:f>
        <x:v>12M ECL</x:v>
      </x:c>
    </x:row>
    <x:row r="225">
      <x:c r="A225" t="str">
        <x:f>'02_Loan_Portfolio'!A225</x:f>
        <x:v>LN00224</x:v>
      </x:c>
      <x:c r="B225" t="n">
        <x:f>'02_Loan_Portfolio'!Q225</x:f>
        <x:v>1</x:v>
      </x:c>
      <x:c r="C225" t="n">
        <x:f>'02_Loan_Portfolio'!N225</x:f>
        <x:v>0.059583</x:v>
      </x:c>
      <x:c r="D225" t="n">
        <x:f>'02_Loan_Portfolio'!R225</x:f>
        <x:v>0.089375</x:v>
      </x:c>
      <x:c r="E225" t="n">
        <x:f>'02_Loan_Portfolio'!O225</x:f>
        <x:v>0.428842</x:v>
      </x:c>
      <x:c r="F225" t="n">
        <x:f>'02_Loan_Portfolio'!P225</x:f>
        <x:v>3187321441596</x:v>
      </x:c>
      <x:c r="G225" t="n">
        <x:f>IF(B225=1,C225,D225)</x:f>
        <x:v>0.059583</x:v>
      </x:c>
      <x:c r="H225" t="n">
        <x:f>G225*E225*F225</x:f>
        <x:v>81441458604.62378</x:v>
      </x:c>
      <x:c r="I225" t="str">
        <x:f>IF(B225=1,"12M ECL","Lifetime ECL")</x:f>
        <x:v>12M ECL</x:v>
      </x:c>
    </x:row>
    <x:row r="226">
      <x:c r="A226" t="str">
        <x:f>'02_Loan_Portfolio'!A226</x:f>
        <x:v>LN00225</x:v>
      </x:c>
      <x:c r="B226" t="n">
        <x:f>'02_Loan_Portfolio'!Q226</x:f>
        <x:v>1</x:v>
      </x:c>
      <x:c r="C226" t="n">
        <x:f>'02_Loan_Portfolio'!N226</x:f>
        <x:v>0.033823</x:v>
      </x:c>
      <x:c r="D226" t="n">
        <x:f>'02_Loan_Portfolio'!R226</x:f>
        <x:v>0.050734</x:v>
      </x:c>
      <x:c r="E226" t="n">
        <x:f>'02_Loan_Portfolio'!O226</x:f>
        <x:v>0.817615</x:v>
      </x:c>
      <x:c r="F226" t="n">
        <x:f>'02_Loan_Portfolio'!P226</x:f>
        <x:v>2813599008388</x:v>
      </x:c>
      <x:c r="G226" t="n">
        <x:f>IF(B226=1,C226,D226)</x:f>
        <x:v>0.033823</x:v>
      </x:c>
      <x:c r="H226" t="n">
        <x:f>G226*E226*F226</x:f>
        <x:v>77807807596.94322</x:v>
      </x:c>
      <x:c r="I226" t="str">
        <x:f>IF(B226=1,"12M ECL","Lifetime ECL")</x:f>
        <x:v>12M ECL</x:v>
      </x:c>
    </x:row>
    <x:row r="227">
      <x:c r="A227" t="str">
        <x:f>'02_Loan_Portfolio'!A227</x:f>
        <x:v>LN00226</x:v>
      </x:c>
      <x:c r="B227" t="n">
        <x:f>'02_Loan_Portfolio'!Q227</x:f>
        <x:v>1</x:v>
      </x:c>
      <x:c r="C227" t="n">
        <x:f>'02_Loan_Portfolio'!N227</x:f>
        <x:v>0.027429</x:v>
      </x:c>
      <x:c r="D227" t="n">
        <x:f>'02_Loan_Portfolio'!R227</x:f>
        <x:v>0.041143</x:v>
      </x:c>
      <x:c r="E227" t="n">
        <x:f>'02_Loan_Portfolio'!O227</x:f>
        <x:v>0.657818</x:v>
      </x:c>
      <x:c r="F227" t="n">
        <x:f>'02_Loan_Portfolio'!P227</x:f>
        <x:v>161321862899</x:v>
      </x:c>
      <x:c r="G227" t="n">
        <x:f>IF(B227=1,C227,D227)</x:f>
        <x:v>0.027429</x:v>
      </x:c>
      <x:c r="H227" t="n">
        <x:f>G227*E227*F227</x:f>
        <x:v>2910777143.0437922</x:v>
      </x:c>
      <x:c r="I227" t="str">
        <x:f>IF(B227=1,"12M ECL","Lifetime ECL")</x:f>
        <x:v>12M ECL</x:v>
      </x:c>
    </x:row>
    <x:row r="228">
      <x:c r="A228" t="str">
        <x:f>'02_Loan_Portfolio'!A228</x:f>
        <x:v>LN00227</x:v>
      </x:c>
      <x:c r="B228" t="n">
        <x:f>'02_Loan_Portfolio'!Q228</x:f>
        <x:v>2</x:v>
      </x:c>
      <x:c r="C228" t="n">
        <x:f>'02_Loan_Portfolio'!N228</x:f>
        <x:v>0.039583</x:v>
      </x:c>
      <x:c r="D228" t="n">
        <x:f>'02_Loan_Portfolio'!R228</x:f>
        <x:v>0.11875</x:v>
      </x:c>
      <x:c r="E228" t="n">
        <x:f>'02_Loan_Portfolio'!O228</x:f>
        <x:v>0.284386</x:v>
      </x:c>
      <x:c r="F228" t="n">
        <x:f>'02_Loan_Portfolio'!P228</x:f>
        <x:v>816670023554</x:v>
      </x:c>
      <x:c r="G228" t="n">
        <x:f>IF(B228=1,C228,D228)</x:f>
        <x:v>0.11875</x:v>
      </x:c>
      <x:c r="H228" t="n">
        <x:f>G228*E228*F228</x:f>
        <x:v>27579630656.56331</x:v>
      </x:c>
      <x:c r="I228" t="str">
        <x:f>IF(B228=1,"12M ECL","Lifetime ECL")</x:f>
        <x:v>Lifetime ECL</x:v>
      </x:c>
    </x:row>
    <x:row r="229">
      <x:c r="A229" t="str">
        <x:f>'02_Loan_Portfolio'!A229</x:f>
        <x:v>LN00228</x:v>
      </x:c>
      <x:c r="B229" t="n">
        <x:f>'02_Loan_Portfolio'!Q229</x:f>
        <x:v>2</x:v>
      </x:c>
      <x:c r="C229" t="n">
        <x:f>'02_Loan_Portfolio'!N229</x:f>
        <x:v>0.220735</x:v>
      </x:c>
      <x:c r="D229" t="n">
        <x:f>'02_Loan_Portfolio'!R229</x:f>
        <x:v>0.662206</x:v>
      </x:c>
      <x:c r="E229" t="n">
        <x:f>'02_Loan_Portfolio'!O229</x:f>
        <x:v>0.458984</x:v>
      </x:c>
      <x:c r="F229" t="n">
        <x:f>'02_Loan_Portfolio'!P229</x:f>
        <x:v>1658018642730</x:v>
      </x:c>
      <x:c r="G229" t="n">
        <x:f>IF(B229=1,C229,D229)</x:f>
        <x:v>0.662206</x:v>
      </x:c>
      <x:c r="H229" t="n">
        <x:f>G229*E229*F229</x:f>
        <x:v>503941433839.10376</x:v>
      </x:c>
      <x:c r="I229" t="str">
        <x:f>IF(B229=1,"12M ECL","Lifetime ECL")</x:f>
        <x:v>Lifetime ECL</x:v>
      </x:c>
    </x:row>
    <x:row r="230">
      <x:c r="A230" t="str">
        <x:f>'02_Loan_Portfolio'!A230</x:f>
        <x:v>LN00229</x:v>
      </x:c>
      <x:c r="B230" t="n">
        <x:f>'02_Loan_Portfolio'!Q230</x:f>
        <x:v>1</x:v>
      </x:c>
      <x:c r="C230" t="n">
        <x:f>'02_Loan_Portfolio'!N230</x:f>
        <x:v>0.015</x:v>
      </x:c>
      <x:c r="D230" t="n">
        <x:f>'02_Loan_Portfolio'!R230</x:f>
        <x:v>0.0225</x:v>
      </x:c>
      <x:c r="E230" t="n">
        <x:f>'02_Loan_Portfolio'!O230</x:f>
        <x:v>0.675079</x:v>
      </x:c>
      <x:c r="F230" t="n">
        <x:f>'02_Loan_Portfolio'!P230</x:f>
        <x:v>257955884734</x:v>
      </x:c>
      <x:c r="G230" t="n">
        <x:f>IF(B230=1,C230,D230)</x:f>
        <x:v>0.015</x:v>
      </x:c>
      <x:c r="H230" t="n">
        <x:f>G230*E230*F230</x:f>
        <x:v>2612109010.6551595</x:v>
      </x:c>
      <x:c r="I230" t="str">
        <x:f>IF(B230=1,"12M ECL","Lifetime ECL")</x:f>
        <x:v>12M ECL</x:v>
      </x:c>
    </x:row>
    <x:row r="231">
      <x:c r="A231" t="str">
        <x:f>'02_Loan_Portfolio'!A231</x:f>
        <x:v>LN00230</x:v>
      </x:c>
      <x:c r="B231" t="n">
        <x:f>'02_Loan_Portfolio'!Q231</x:f>
        <x:v>1</x:v>
      </x:c>
      <x:c r="C231" t="n">
        <x:f>'02_Loan_Portfolio'!N231</x:f>
        <x:v>0.045104</x:v>
      </x:c>
      <x:c r="D231" t="n">
        <x:f>'02_Loan_Portfolio'!R231</x:f>
        <x:v>0.067656</x:v>
      </x:c>
      <x:c r="E231" t="n">
        <x:f>'02_Loan_Portfolio'!O231</x:f>
        <x:v>0.349257</x:v>
      </x:c>
      <x:c r="F231" t="n">
        <x:f>'02_Loan_Portfolio'!P231</x:f>
        <x:v>22708761203</x:v>
      </x:c>
      <x:c r="G231" t="n">
        <x:f>IF(B231=1,C231,D231)</x:f>
        <x:v>0.045104</x:v>
      </x:c>
      <x:c r="H231" t="n">
        <x:f>G231*E231*F231</x:f>
        <x:v>357728565.67282116</x:v>
      </x:c>
      <x:c r="I231" t="str">
        <x:f>IF(B231=1,"12M ECL","Lifetime ECL")</x:f>
        <x:v>12M ECL</x:v>
      </x:c>
    </x:row>
    <x:row r="232">
      <x:c r="A232" t="str">
        <x:f>'02_Loan_Portfolio'!A232</x:f>
        <x:v>LN00231</x:v>
      </x:c>
      <x:c r="B232" t="n">
        <x:f>'02_Loan_Portfolio'!Q232</x:f>
        <x:v>1</x:v>
      </x:c>
      <x:c r="C232" t="n">
        <x:f>'02_Loan_Portfolio'!N232</x:f>
        <x:v>0.031373</x:v>
      </x:c>
      <x:c r="D232" t="n">
        <x:f>'02_Loan_Portfolio'!R232</x:f>
        <x:v>0.04706</x:v>
      </x:c>
      <x:c r="E232" t="n">
        <x:f>'02_Loan_Portfolio'!O232</x:f>
        <x:v>0.568641</x:v>
      </x:c>
      <x:c r="F232" t="n">
        <x:f>'02_Loan_Portfolio'!P232</x:f>
        <x:v>21267378194</x:v>
      </x:c>
      <x:c r="G232" t="n">
        <x:f>IF(B232=1,C232,D232)</x:f>
        <x:v>0.031373</x:v>
      </x:c>
      <x:c r="H232" t="n">
        <x:f>G232*E232*F232</x:f>
        <x:v>379409476.0069931</x:v>
      </x:c>
      <x:c r="I232" t="str">
        <x:f>IF(B232=1,"12M ECL","Lifetime ECL")</x:f>
        <x:v>12M ECL</x:v>
      </x:c>
    </x:row>
    <x:row r="233">
      <x:c r="A233" t="str">
        <x:f>'02_Loan_Portfolio'!A233</x:f>
        <x:v>LN00232</x:v>
      </x:c>
      <x:c r="B233" t="n">
        <x:f>'02_Loan_Portfolio'!Q233</x:f>
        <x:v>1</x:v>
      </x:c>
      <x:c r="C233" t="n">
        <x:f>'02_Loan_Portfolio'!N233</x:f>
        <x:v>0.013679</x:v>
      </x:c>
      <x:c r="D233" t="n">
        <x:f>'02_Loan_Portfolio'!R233</x:f>
        <x:v>0.020519</x:v>
      </x:c>
      <x:c r="E233" t="n">
        <x:f>'02_Loan_Portfolio'!O233</x:f>
        <x:v>0.508064</x:v>
      </x:c>
      <x:c r="F233" t="n">
        <x:f>'02_Loan_Portfolio'!P233</x:f>
        <x:v>694061641534</x:v>
      </x:c>
      <x:c r="G233" t="n">
        <x:f>IF(B233=1,C233,D233)</x:f>
        <x:v>0.013679</x:v>
      </x:c>
      <x:c r="H233" t="n">
        <x:f>G233*E233*F233</x:f>
        <x:v>4823594771.256592</x:v>
      </x:c>
      <x:c r="I233" t="str">
        <x:f>IF(B233=1,"12M ECL","Lifetime ECL")</x:f>
        <x:v>12M ECL</x:v>
      </x:c>
    </x:row>
    <x:row r="234">
      <x:c r="A234" t="str">
        <x:f>'02_Loan_Portfolio'!A234</x:f>
        <x:v>LN00233</x:v>
      </x:c>
      <x:c r="B234" t="n">
        <x:f>'02_Loan_Portfolio'!Q234</x:f>
        <x:v>1</x:v>
      </x:c>
      <x:c r="C234" t="n">
        <x:f>'02_Loan_Portfolio'!N234</x:f>
        <x:v>0.29697</x:v>
      </x:c>
      <x:c r="D234" t="n">
        <x:f>'02_Loan_Portfolio'!R234</x:f>
        <x:v>0.445454</x:v>
      </x:c>
      <x:c r="E234" t="n">
        <x:f>'02_Loan_Portfolio'!O234</x:f>
        <x:v>0.609455</x:v>
      </x:c>
      <x:c r="F234" t="n">
        <x:f>'02_Loan_Portfolio'!P234</x:f>
        <x:v>792533559342</x:v>
      </x:c>
      <x:c r="G234" t="n">
        <x:f>IF(B234=1,C234,D234)</x:f>
        <x:v>0.29697</x:v>
      </x:c>
      <x:c r="H234" t="n">
        <x:f>G234*E234*F234</x:f>
        <x:v>143440531095.19498</x:v>
      </x:c>
      <x:c r="I234" t="str">
        <x:f>IF(B234=1,"12M ECL","Lifetime ECL")</x:f>
        <x:v>12M ECL</x:v>
      </x:c>
    </x:row>
    <x:row r="235">
      <x:c r="A235" t="str">
        <x:f>'02_Loan_Portfolio'!A235</x:f>
        <x:v>LN00234</x:v>
      </x:c>
      <x:c r="B235" t="n">
        <x:f>'02_Loan_Portfolio'!Q235</x:f>
        <x:v>1</x:v>
      </x:c>
      <x:c r="C235" t="n">
        <x:f>'02_Loan_Portfolio'!N235</x:f>
        <x:v>0.125742</x:v>
      </x:c>
      <x:c r="D235" t="n">
        <x:f>'02_Loan_Portfolio'!R235</x:f>
        <x:v>0.188613</x:v>
      </x:c>
      <x:c r="E235" t="n">
        <x:f>'02_Loan_Portfolio'!O235</x:f>
        <x:v>0.481142</x:v>
      </x:c>
      <x:c r="F235" t="n">
        <x:f>'02_Loan_Portfolio'!P235</x:f>
        <x:v>241290323954</x:v>
      </x:c>
      <x:c r="G235" t="n">
        <x:f>IF(B235=1,C235,D235)</x:f>
        <x:v>0.125742</x:v>
      </x:c>
      <x:c r="H235" t="n">
        <x:f>G235*E235*F235</x:f>
        <x:v>14598006053.497957</x:v>
      </x:c>
      <x:c r="I235" t="str">
        <x:f>IF(B235=1,"12M ECL","Lifetime ECL")</x:f>
        <x:v>12M ECL</x:v>
      </x:c>
    </x:row>
    <x:row r="236">
      <x:c r="A236" t="str">
        <x:f>'02_Loan_Portfolio'!A236</x:f>
        <x:v>LN00235</x:v>
      </x:c>
      <x:c r="B236" t="n">
        <x:f>'02_Loan_Portfolio'!Q236</x:f>
        <x:v>1</x:v>
      </x:c>
      <x:c r="C236" t="n">
        <x:f>'02_Loan_Portfolio'!N236</x:f>
        <x:v>0.072663</x:v>
      </x:c>
      <x:c r="D236" t="n">
        <x:f>'02_Loan_Portfolio'!R236</x:f>
        <x:v>0.108995</x:v>
      </x:c>
      <x:c r="E236" t="n">
        <x:f>'02_Loan_Portfolio'!O236</x:f>
        <x:v>0.693133</x:v>
      </x:c>
      <x:c r="F236" t="n">
        <x:f>'02_Loan_Portfolio'!P236</x:f>
        <x:v>42168038474</x:v>
      </x:c>
      <x:c r="G236" t="n">
        <x:f>IF(B236=1,C236,D236)</x:f>
        <x:v>0.072663</x:v>
      </x:c>
      <x:c r="H236" t="n">
        <x:f>G236*E236*F236</x:f>
        <x:v>2123798451.9598215</x:v>
      </x:c>
      <x:c r="I236" t="str">
        <x:f>IF(B236=1,"12M ECL","Lifetime ECL")</x:f>
        <x:v>12M ECL</x:v>
      </x:c>
    </x:row>
    <x:row r="237">
      <x:c r="A237" t="str">
        <x:f>'02_Loan_Portfolio'!A237</x:f>
        <x:v>LN00236</x:v>
      </x:c>
      <x:c r="B237" t="n">
        <x:f>'02_Loan_Portfolio'!Q237</x:f>
        <x:v>2</x:v>
      </x:c>
      <x:c r="C237" t="n">
        <x:f>'02_Loan_Portfolio'!N237</x:f>
        <x:v>0.0269</x:v>
      </x:c>
      <x:c r="D237" t="n">
        <x:f>'02_Loan_Portfolio'!R237</x:f>
        <x:v>0.080701</x:v>
      </x:c>
      <x:c r="E237" t="n">
        <x:f>'02_Loan_Portfolio'!O237</x:f>
        <x:v>0.647631</x:v>
      </x:c>
      <x:c r="F237" t="n">
        <x:f>'02_Loan_Portfolio'!P237</x:f>
        <x:v>2519546363237</x:v>
      </x:c>
      <x:c r="G237" t="n">
        <x:f>IF(B237=1,C237,D237)</x:f>
        <x:v>0.080701</x:v>
      </x:c>
      <x:c r="H237" t="n">
        <x:f>G237*E237*F237</x:f>
        <x:v>131682753629.43275</x:v>
      </x:c>
      <x:c r="I237" t="str">
        <x:f>IF(B237=1,"12M ECL","Lifetime ECL")</x:f>
        <x:v>Lifetime ECL</x:v>
      </x:c>
    </x:row>
    <x:row r="238">
      <x:c r="A238" t="str">
        <x:f>'02_Loan_Portfolio'!A238</x:f>
        <x:v>LN00237</x:v>
      </x:c>
      <x:c r="B238" t="n">
        <x:f>'02_Loan_Portfolio'!Q238</x:f>
        <x:v>2</x:v>
      </x:c>
      <x:c r="C238" t="n">
        <x:f>'02_Loan_Portfolio'!N238</x:f>
        <x:v>0.004028</x:v>
      </x:c>
      <x:c r="D238" t="n">
        <x:f>'02_Loan_Portfolio'!R238</x:f>
        <x:v>0.012084</x:v>
      </x:c>
      <x:c r="E238" t="n">
        <x:f>'02_Loan_Portfolio'!O238</x:f>
        <x:v>0.513137</x:v>
      </x:c>
      <x:c r="F238" t="n">
        <x:f>'02_Loan_Portfolio'!P238</x:f>
        <x:v>3199256220906</x:v>
      </x:c>
      <x:c r="G238" t="n">
        <x:f>IF(B238=1,C238,D238)</x:f>
        <x:v>0.012084</x:v>
      </x:c>
      <x:c r="H238" t="n">
        <x:f>G238*E238*F238</x:f>
        <x:v>19837780039.236374</x:v>
      </x:c>
      <x:c r="I238" t="str">
        <x:f>IF(B238=1,"12M ECL","Lifetime ECL")</x:f>
        <x:v>Lifetime ECL</x:v>
      </x:c>
    </x:row>
    <x:row r="239">
      <x:c r="A239" t="str">
        <x:f>'02_Loan_Portfolio'!A239</x:f>
        <x:v>LN00238</x:v>
      </x:c>
      <x:c r="B239" t="n">
        <x:f>'02_Loan_Portfolio'!Q239</x:f>
        <x:v>2</x:v>
      </x:c>
      <x:c r="C239" t="n">
        <x:f>'02_Loan_Portfolio'!N239</x:f>
        <x:v>0.19</x:v>
      </x:c>
      <x:c r="D239" t="n">
        <x:f>'02_Loan_Portfolio'!R239</x:f>
        <x:v>0.57</x:v>
      </x:c>
      <x:c r="E239" t="n">
        <x:f>'02_Loan_Portfolio'!O239</x:f>
        <x:v>0.490809</x:v>
      </x:c>
      <x:c r="F239" t="n">
        <x:f>'02_Loan_Portfolio'!P239</x:f>
        <x:v>3066764211215</x:v>
      </x:c>
      <x:c r="G239" t="n">
        <x:f>IF(B239=1,C239,D239)</x:f>
        <x:v>0.57</x:v>
      </x:c>
      <x:c r="H239" t="n">
        <x:f>G239*E239*F239</x:f>
        <x:v>857961421173.067</x:v>
      </x:c>
      <x:c r="I239" t="str">
        <x:f>IF(B239=1,"12M ECL","Lifetime ECL")</x:f>
        <x:v>Lifetime ECL</x:v>
      </x:c>
    </x:row>
    <x:row r="240">
      <x:c r="A240" t="str">
        <x:f>'02_Loan_Portfolio'!A240</x:f>
        <x:v>LN00239</x:v>
      </x:c>
      <x:c r="B240" t="n">
        <x:f>'02_Loan_Portfolio'!Q240</x:f>
        <x:v>1</x:v>
      </x:c>
      <x:c r="C240" t="n">
        <x:f>'02_Loan_Portfolio'!N240</x:f>
        <x:v>0.393143</x:v>
      </x:c>
      <x:c r="D240" t="n">
        <x:f>'02_Loan_Portfolio'!R240</x:f>
        <x:v>0.589714</x:v>
      </x:c>
      <x:c r="E240" t="n">
        <x:f>'02_Loan_Portfolio'!O240</x:f>
        <x:v>0.506503</x:v>
      </x:c>
      <x:c r="F240" t="n">
        <x:f>'02_Loan_Portfolio'!P240</x:f>
        <x:v>1948277084113</x:v>
      </x:c>
      <x:c r="G240" t="n">
        <x:f>IF(B240=1,C240,D240)</x:f>
        <x:v>0.393143</x:v>
      </x:c>
      <x:c r="H240" t="n">
        <x:f>G240*E240*F240</x:f>
        <x:v>387956731429.128</x:v>
      </x:c>
      <x:c r="I240" t="str">
        <x:f>IF(B240=1,"12M ECL","Lifetime ECL")</x:f>
        <x:v>12M ECL</x:v>
      </x:c>
    </x:row>
    <x:row r="241">
      <x:c r="A241" t="str">
        <x:f>'02_Loan_Portfolio'!A241</x:f>
        <x:v>LN00240</x:v>
      </x:c>
      <x:c r="B241" t="n">
        <x:f>'02_Loan_Portfolio'!Q241</x:f>
        <x:v>1</x:v>
      </x:c>
      <x:c r="C241" t="n">
        <x:f>'02_Loan_Portfolio'!N241</x:f>
        <x:v>0.065278</x:v>
      </x:c>
      <x:c r="D241" t="n">
        <x:f>'02_Loan_Portfolio'!R241</x:f>
        <x:v>0.097917</x:v>
      </x:c>
      <x:c r="E241" t="n">
        <x:f>'02_Loan_Portfolio'!O241</x:f>
        <x:v>0.637316</x:v>
      </x:c>
      <x:c r="F241" t="n">
        <x:f>'02_Loan_Portfolio'!P241</x:f>
        <x:v>485814384958</x:v>
      </x:c>
      <x:c r="G241" t="n">
        <x:f>IF(B241=1,C241,D241)</x:f>
        <x:v>0.065278</x:v>
      </x:c>
      <x:c r="H241" t="n">
        <x:f>G241*E241*F241</x:f>
        <x:v>20211196840.64979</x:v>
      </x:c>
      <x:c r="I241" t="str">
        <x:f>IF(B241=1,"12M ECL","Lifetime ECL")</x:f>
        <x:v>12M ECL</x:v>
      </x:c>
    </x:row>
    <x:row r="242">
      <x:c r="A242" t="str">
        <x:f>'02_Loan_Portfolio'!A242</x:f>
        <x:v>LN00241</x:v>
      </x:c>
      <x:c r="B242" t="n">
        <x:f>'02_Loan_Portfolio'!Q242</x:f>
        <x:v>2</x:v>
      </x:c>
      <x:c r="C242" t="n">
        <x:f>'02_Loan_Portfolio'!N242</x:f>
        <x:v>0.199526</x:v>
      </x:c>
      <x:c r="D242" t="n">
        <x:f>'02_Loan_Portfolio'!R242</x:f>
        <x:v>0.598579</x:v>
      </x:c>
      <x:c r="E242" t="n">
        <x:f>'02_Loan_Portfolio'!O242</x:f>
        <x:v>0.541293</x:v>
      </x:c>
      <x:c r="F242" t="n">
        <x:f>'02_Loan_Portfolio'!P242</x:f>
        <x:v>194061423981</x:v>
      </x:c>
      <x:c r="G242" t="n">
        <x:f>IF(B242=1,C242,D242)</x:f>
        <x:v>0.598579</x:v>
      </x:c>
      <x:c r="H242" t="n">
        <x:f>G242*E242*F242</x:f>
        <x:v>62877186570.15134</x:v>
      </x:c>
      <x:c r="I242" t="str">
        <x:f>IF(B242=1,"12M ECL","Lifetime ECL")</x:f>
        <x:v>Lifetime ECL</x:v>
      </x:c>
    </x:row>
    <x:row r="243">
      <x:c r="A243" t="str">
        <x:f>'02_Loan_Portfolio'!A243</x:f>
        <x:v>LN00242</x:v>
      </x:c>
      <x:c r="B243" t="n">
        <x:f>'02_Loan_Portfolio'!Q243</x:f>
        <x:v>2</x:v>
      </x:c>
      <x:c r="C243" t="n">
        <x:f>'02_Loan_Portfolio'!N243</x:f>
        <x:v>0.109011</x:v>
      </x:c>
      <x:c r="D243" t="n">
        <x:f>'02_Loan_Portfolio'!R243</x:f>
        <x:v>0.327034</x:v>
      </x:c>
      <x:c r="E243" t="n">
        <x:f>'02_Loan_Portfolio'!O243</x:f>
        <x:v>0.635305</x:v>
      </x:c>
      <x:c r="F243" t="n">
        <x:f>'02_Loan_Portfolio'!P243</x:f>
        <x:v>3111247212319</x:v>
      </x:c>
      <x:c r="G243" t="n">
        <x:f>IF(B243=1,C243,D243)</x:f>
        <x:v>0.327034</x:v>
      </x:c>
      <x:c r="H243" t="n">
        <x:f>G243*E243*F243</x:f>
        <x:v>646412431733.647</x:v>
      </x:c>
      <x:c r="I243" t="str">
        <x:f>IF(B243=1,"12M ECL","Lifetime ECL")</x:f>
        <x:v>Lifetime ECL</x:v>
      </x:c>
    </x:row>
    <x:row r="244">
      <x:c r="A244" t="str">
        <x:f>'02_Loan_Portfolio'!A244</x:f>
        <x:v>LN00243</x:v>
      </x:c>
      <x:c r="B244" t="n">
        <x:f>'02_Loan_Portfolio'!Q244</x:f>
        <x:v>1</x:v>
      </x:c>
      <x:c r="C244" t="n">
        <x:f>'02_Loan_Portfolio'!N244</x:f>
        <x:v>0.12</x:v>
      </x:c>
      <x:c r="D244" t="n">
        <x:f>'02_Loan_Portfolio'!R244</x:f>
        <x:v>0.18</x:v>
      </x:c>
      <x:c r="E244" t="n">
        <x:f>'02_Loan_Portfolio'!O244</x:f>
        <x:v>0.449994</x:v>
      </x:c>
      <x:c r="F244" t="n">
        <x:f>'02_Loan_Portfolio'!P244</x:f>
        <x:v>2233051034176</x:v>
      </x:c>
      <x:c r="G244" t="n">
        <x:f>IF(B244=1,C244,D244)</x:f>
        <x:v>0.12</x:v>
      </x:c>
      <x:c r="H244" t="n">
        <x:f>G244*E244*F244</x:f>
        <x:v>120583148048.75938</x:v>
      </x:c>
      <x:c r="I244" t="str">
        <x:f>IF(B244=1,"12M ECL","Lifetime ECL")</x:f>
        <x:v>12M ECL</x:v>
      </x:c>
    </x:row>
    <x:row r="245">
      <x:c r="A245" t="str">
        <x:f>'02_Loan_Portfolio'!A245</x:f>
        <x:v>LN00244</x:v>
      </x:c>
      <x:c r="B245" t="n">
        <x:f>'02_Loan_Portfolio'!Q245</x:f>
        <x:v>2</x:v>
      </x:c>
      <x:c r="C245" t="n">
        <x:f>'02_Loan_Portfolio'!N245</x:f>
        <x:v>0.044997</x:v>
      </x:c>
      <x:c r="D245" t="n">
        <x:f>'02_Loan_Portfolio'!R245</x:f>
        <x:v>0.134991</x:v>
      </x:c>
      <x:c r="E245" t="n">
        <x:f>'02_Loan_Portfolio'!O245</x:f>
        <x:v>0.636629</x:v>
      </x:c>
      <x:c r="F245" t="n">
        <x:f>'02_Loan_Portfolio'!P245</x:f>
        <x:v>2686565430870</x:v>
      </x:c>
      <x:c r="G245" t="n">
        <x:f>IF(B245=1,C245,D245)</x:f>
        <x:v>0.134991</x:v>
      </x:c>
      <x:c r="H245" t="n">
        <x:f>G245*E245*F245</x:f>
        <x:v>230881244488.8873</x:v>
      </x:c>
      <x:c r="I245" t="str">
        <x:f>IF(B245=1,"12M ECL","Lifetime ECL")</x:f>
        <x:v>Lifetime ECL</x:v>
      </x:c>
    </x:row>
    <x:row r="246">
      <x:c r="A246" t="str">
        <x:f>'02_Loan_Portfolio'!A246</x:f>
        <x:v>LN00245</x:v>
      </x:c>
      <x:c r="B246" t="n">
        <x:f>'02_Loan_Portfolio'!Q246</x:f>
        <x:v>1</x:v>
      </x:c>
      <x:c r="C246" t="n">
        <x:f>'02_Loan_Portfolio'!N246</x:f>
        <x:v>0.012586</x:v>
      </x:c>
      <x:c r="D246" t="n">
        <x:f>'02_Loan_Portfolio'!R246</x:f>
        <x:v>0.018879</x:v>
      </x:c>
      <x:c r="E246" t="n">
        <x:f>'02_Loan_Portfolio'!O246</x:f>
        <x:v>0.582619</x:v>
      </x:c>
      <x:c r="F246" t="n">
        <x:f>'02_Loan_Portfolio'!P246</x:f>
        <x:v>285734104704</x:v>
      </x:c>
      <x:c r="G246" t="n">
        <x:f>IF(B246=1,C246,D246)</x:f>
        <x:v>0.012586</x:v>
      </x:c>
      <x:c r="H246" t="n">
        <x:f>G246*E246*F246</x:f>
        <x:v>2095243253.5347216</x:v>
      </x:c>
      <x:c r="I246" t="str">
        <x:f>IF(B246=1,"12M ECL","Lifetime ECL")</x:f>
        <x:v>12M ECL</x:v>
      </x:c>
    </x:row>
    <x:row r="247">
      <x:c r="A247" t="str">
        <x:f>'02_Loan_Portfolio'!A247</x:f>
        <x:v>LN00246</x:v>
      </x:c>
      <x:c r="B247" t="n">
        <x:f>'02_Loan_Portfolio'!Q247</x:f>
        <x:v>1</x:v>
      </x:c>
      <x:c r="C247" t="n">
        <x:f>'02_Loan_Portfolio'!N247</x:f>
        <x:v>0.025</x:v>
      </x:c>
      <x:c r="D247" t="n">
        <x:f>'02_Loan_Portfolio'!R247</x:f>
        <x:v>0.0375</x:v>
      </x:c>
      <x:c r="E247" t="n">
        <x:f>'02_Loan_Portfolio'!O247</x:f>
        <x:v>0.48244</x:v>
      </x:c>
      <x:c r="F247" t="n">
        <x:f>'02_Loan_Portfolio'!P247</x:f>
        <x:v>2932060029639</x:v>
      </x:c>
      <x:c r="G247" t="n">
        <x:f>IF(B247=1,C247,D247)</x:f>
        <x:v>0.025</x:v>
      </x:c>
      <x:c r="H247" t="n">
        <x:f>G247*E247*F247</x:f>
        <x:v>35363576017.47598</x:v>
      </x:c>
      <x:c r="I247" t="str">
        <x:f>IF(B247=1,"12M ECL","Lifetime ECL")</x:f>
        <x:v>12M ECL</x:v>
      </x:c>
    </x:row>
    <x:row r="248">
      <x:c r="A248" t="str">
        <x:f>'02_Loan_Portfolio'!A248</x:f>
        <x:v>LN00247</x:v>
      </x:c>
      <x:c r="B248" t="n">
        <x:f>'02_Loan_Portfolio'!Q248</x:f>
        <x:v>1</x:v>
      </x:c>
      <x:c r="C248" t="n">
        <x:f>'02_Loan_Portfolio'!N248</x:f>
        <x:v>0.025</x:v>
      </x:c>
      <x:c r="D248" t="n">
        <x:f>'02_Loan_Portfolio'!R248</x:f>
        <x:v>0.0375</x:v>
      </x:c>
      <x:c r="E248" t="n">
        <x:f>'02_Loan_Portfolio'!O248</x:f>
        <x:v>0.54847</x:v>
      </x:c>
      <x:c r="F248" t="n">
        <x:f>'02_Loan_Portfolio'!P248</x:f>
        <x:v>3271972405878</x:v>
      </x:c>
      <x:c r="G248" t="n">
        <x:f>IF(B248=1,C248,D248)</x:f>
        <x:v>0.025</x:v>
      </x:c>
      <x:c r="H248" t="n">
        <x:f>G248*E248*F248</x:f>
        <x:v>44864467636.29767</x:v>
      </x:c>
      <x:c r="I248" t="str">
        <x:f>IF(B248=1,"12M ECL","Lifetime ECL")</x:f>
        <x:v>12M ECL</x:v>
      </x:c>
    </x:row>
    <x:row r="249">
      <x:c r="A249" t="str">
        <x:f>'02_Loan_Portfolio'!A249</x:f>
        <x:v>LN00248</x:v>
      </x:c>
      <x:c r="B249" t="n">
        <x:f>'02_Loan_Portfolio'!Q249</x:f>
        <x:v>1</x:v>
      </x:c>
      <x:c r="C249" t="n">
        <x:f>'02_Loan_Portfolio'!N249</x:f>
        <x:v>0.087887</x:v>
      </x:c>
      <x:c r="D249" t="n">
        <x:f>'02_Loan_Portfolio'!R249</x:f>
        <x:v>0.13183</x:v>
      </x:c>
      <x:c r="E249" t="n">
        <x:f>'02_Loan_Portfolio'!O249</x:f>
        <x:v>0.650702</x:v>
      </x:c>
      <x:c r="F249" t="n">
        <x:f>'02_Loan_Portfolio'!P249</x:f>
        <x:v>2606452752740</x:v>
      </x:c>
      <x:c r="G249" t="n">
        <x:f>IF(B249=1,C249,D249)</x:f>
        <x:v>0.087887</x:v>
      </x:c>
      <x:c r="H249" t="n">
        <x:f>G249*E249*F249</x:f>
        <x:v>149058462967.82147</x:v>
      </x:c>
      <x:c r="I249" t="str">
        <x:f>IF(B249=1,"12M ECL","Lifetime ECL")</x:f>
        <x:v>12M ECL</x:v>
      </x:c>
    </x:row>
    <x:row r="250">
      <x:c r="A250" t="str">
        <x:f>'02_Loan_Portfolio'!A250</x:f>
        <x:v>LN00249</x:v>
      </x:c>
      <x:c r="B250" t="n">
        <x:f>'02_Loan_Portfolio'!Q250</x:f>
        <x:v>1</x:v>
      </x:c>
      <x:c r="C250" t="n">
        <x:f>'02_Loan_Portfolio'!N250</x:f>
        <x:v>0.205</x:v>
      </x:c>
      <x:c r="D250" t="n">
        <x:f>'02_Loan_Portfolio'!R250</x:f>
        <x:v>0.3075</x:v>
      </x:c>
      <x:c r="E250" t="n">
        <x:f>'02_Loan_Portfolio'!O250</x:f>
        <x:v>0.551847</x:v>
      </x:c>
      <x:c r="F250" t="n">
        <x:f>'02_Loan_Portfolio'!P250</x:f>
        <x:v>3267562787605</x:v>
      </x:c>
      <x:c r="G250" t="n">
        <x:f>IF(B250=1,C250,D250)</x:f>
        <x:v>0.205</x:v>
      </x:c>
      <x:c r="H250" t="n">
        <x:f>G250*E250*F250</x:f>
        <x:v>369654917938.5485</x:v>
      </x:c>
      <x:c r="I250" t="str">
        <x:f>IF(B250=1,"12M ECL","Lifetime ECL")</x:f>
        <x:v>12M ECL</x:v>
      </x:c>
    </x:row>
    <x:row r="251">
      <x:c r="A251" t="str">
        <x:f>'02_Loan_Portfolio'!A251</x:f>
        <x:v>LN00250</x:v>
      </x:c>
      <x:c r="B251" t="n">
        <x:f>'02_Loan_Portfolio'!Q251</x:f>
        <x:v>1</x:v>
      </x:c>
      <x:c r="C251" t="n">
        <x:f>'02_Loan_Portfolio'!N251</x:f>
        <x:v>0.084232</x:v>
      </x:c>
      <x:c r="D251" t="n">
        <x:f>'02_Loan_Portfolio'!R251</x:f>
        <x:v>0.126348</x:v>
      </x:c>
      <x:c r="E251" t="n">
        <x:f>'02_Loan_Portfolio'!O251</x:f>
        <x:v>0.408435</x:v>
      </x:c>
      <x:c r="F251" t="n">
        <x:f>'02_Loan_Portfolio'!P251</x:f>
        <x:v>2783204621993</x:v>
      </x:c>
      <x:c r="G251" t="n">
        <x:f>IF(B251=1,C251,D251)</x:f>
        <x:v>0.084232</x:v>
      </x:c>
      <x:c r="H251" t="n">
        <x:f>G251*E251*F251</x:f>
        <x:v>95751414999.54153</x:v>
      </x:c>
      <x:c r="I251" t="str">
        <x:f>IF(B251=1,"12M ECL","Lifetime ECL")</x:f>
        <x:v>12M ECL</x:v>
      </x:c>
    </x:row>
  </x:sheetData>
  <x:pageMargins left="0.7" right="0.7" top="0.75" bottom="0.75" header="0.3" footer="0.3"/>
  <x:tableParts count="1">
    <x:tablePart xmlns:r="http://schemas.openxmlformats.org/officeDocument/2006/relationships" r:id="R75730e14bcaa4d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9" t="str">
        <x:v>Macro Stress Testing Engine</x:v>
      </x:c>
      <x:c r="B1" s="48"/>
      <x:c r="C1" s="48"/>
      <x:c r="D1" s="50"/>
      <x:c r="E1" s="50"/>
      <x:c r="F1" s="48"/>
    </x:row>
    <x:row r="3">
      <x:c r="A3" s="12" t="str">
        <x:v>Scenario</x:v>
      </x:c>
      <x:c r="B3" s="12" t="str">
        <x:v>GDP shock pp</x:v>
      </x:c>
      <x:c r="C3" s="12" t="str">
        <x:v>Policy rate shock pp</x:v>
      </x:c>
      <x:c r="D3" s="12" t="str">
        <x:v>FX shock %</x:v>
      </x:c>
      <x:c r="E3" s="12" t="str">
        <x:v>Property price shock %</x:v>
      </x:c>
      <x:c r="F3" s="12" t="str">
        <x:v>PD multiplier</x:v>
      </x:c>
      <x:c r="G3" s="12" t="str">
        <x:v>LGD multiplier</x:v>
      </x:c>
    </x:row>
    <x:row r="4">
      <x:c r="A4" t="str">
        <x:v>Base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1</x:v>
      </x:c>
      <x:c r="G4" t="n">
        <x:v>1</x:v>
      </x:c>
    </x:row>
    <x:row r="5">
      <x:c r="A5" t="str">
        <x:v>Mild Stress</x:v>
      </x:c>
      <x:c r="B5" t="n">
        <x:v>-2</x:v>
      </x:c>
      <x:c r="C5" t="n">
        <x:v>1</x:v>
      </x:c>
      <x:c r="D5" t="n">
        <x:v>4</x:v>
      </x:c>
      <x:c r="E5" t="n">
        <x:v>-5</x:v>
      </x:c>
      <x:c r="F5" t="n">
        <x:v>1.35</x:v>
      </x:c>
      <x:c r="G5" t="n">
        <x:v>1.1</x:v>
      </x:c>
    </x:row>
    <x:row r="6">
      <x:c r="A6" t="str">
        <x:v>Severe Stress</x:v>
      </x:c>
      <x:c r="B6" t="n">
        <x:v>-4</x:v>
      </x:c>
      <x:c r="C6" t="n">
        <x:v>2</x:v>
      </x:c>
      <x:c r="D6" t="n">
        <x:v>8</x:v>
      </x:c>
      <x:c r="E6" t="n">
        <x:v>-15</x:v>
      </x:c>
      <x:c r="F6" t="n">
        <x:v>1.9</x:v>
      </x:c>
      <x:c r="G6" t="n">
        <x:v>1.3</x:v>
      </x:c>
    </x:row>
    <x:row r="9">
      <x:c r="A9" s="12" t="str">
        <x:v>Scenario</x:v>
      </x:c>
      <x:c r="B9" s="12" t="str">
        <x:v>Stressed PD</x:v>
      </x:c>
      <x:c r="C9" s="12" t="str">
        <x:v>Stressed LGD</x:v>
      </x:c>
      <x:c r="D9" s="12" t="str">
        <x:v>EAD VND</x:v>
      </x:c>
      <x:c r="E9" s="12" t="str">
        <x:v>Stressed ECL VND</x:v>
      </x:c>
      <x:c r="F9" s="12" t="str">
        <x:v>Increase vs Base</x:v>
      </x:c>
    </x:row>
    <x:row r="10">
      <x:c r="A10" t="str">
        <x:f>A4</x:f>
        <x:v>Base</x:v>
      </x:c>
      <x:c r="B10" t="n">
        <x:f>MIN(99%,SUMPRODUCT('02_Loan_Portfolio'!N2:N251,'02_Loan_Portfolio'!P2:P251)/SUM('02_Loan_Portfolio'!P2:P251)*F4)</x:f>
        <x:v>0.08888750972467052</x:v>
      </x:c>
      <x:c r="C10" t="n">
        <x:f>MIN(95%,SUMPRODUCT('02_Loan_Portfolio'!O2:O251,'02_Loan_Portfolio'!P2:P251)/SUM('02_Loan_Portfolio'!P2:P251)*G4)</x:f>
        <x:v>0.5504164333967843</x:v>
      </x:c>
      <x:c r="D10" t="n">
        <x:f>SUM('02_Loan_Portfolio'!P2:P251)</x:f>
        <x:v>427296172686485</x:v>
      </x:c>
      <x:c r="E10" t="n">
        <x:f>B10*C10*D10</x:f>
        <x:v>20905527666476.83</x:v>
      </x:c>
      <x:c r="F10" t="n">
        <x:f>E10/$E$10-1</x:f>
        <x:v>0</x:v>
      </x:c>
    </x:row>
    <x:row r="11">
      <x:c r="A11" t="str">
        <x:f>A5</x:f>
        <x:v>Mild Stress</x:v>
      </x:c>
      <x:c r="B11" t="n">
        <x:f>MIN(99%,SUMPRODUCT('02_Loan_Portfolio'!N2:N251,'02_Loan_Portfolio'!P2:P251)/SUM('02_Loan_Portfolio'!P2:P251)*F5)</x:f>
        <x:v>0.11999813812830522</x:v>
      </x:c>
      <x:c r="C11" t="n">
        <x:f>MIN(95%,SUMPRODUCT('02_Loan_Portfolio'!O2:O251,'02_Loan_Portfolio'!P2:P251)/SUM('02_Loan_Portfolio'!P2:P251)*G5)</x:f>
        <x:v>0.6054580767364627</x:v>
      </x:c>
      <x:c r="D11" t="n">
        <x:f>SUM('02_Loan_Portfolio'!P2:P251)</x:f>
        <x:v>427296172686485</x:v>
      </x:c>
      <x:c r="E11" t="n">
        <x:f>B11*C11*D11</x:f>
        <x:v>31044708584718.094</x:v>
      </x:c>
      <x:c r="F11" t="n">
        <x:f>E11/$E$10-1</x:f>
        <x:v>0.4850000000000001</x:v>
      </x:c>
    </x:row>
    <x:row r="12">
      <x:c r="A12" t="str">
        <x:f>A6</x:f>
        <x:v>Severe Stress</x:v>
      </x:c>
      <x:c r="B12" t="n">
        <x:f>MIN(99%,SUMPRODUCT('02_Loan_Portfolio'!N2:N251,'02_Loan_Portfolio'!P2:P251)/SUM('02_Loan_Portfolio'!P2:P251)*F6)</x:f>
        <x:v>0.168886268476874</x:v>
      </x:c>
      <x:c r="C12" t="n">
        <x:f>MIN(95%,SUMPRODUCT('02_Loan_Portfolio'!O2:O251,'02_Loan_Portfolio'!P2:P251)/SUM('02_Loan_Portfolio'!P2:P251)*G6)</x:f>
        <x:v>0.7155413634158195</x:v>
      </x:c>
      <x:c r="D12" t="n">
        <x:f>SUM('02_Loan_Portfolio'!P2:P251)</x:f>
        <x:v>427296172686485</x:v>
      </x:c>
      <x:c r="E12" t="n">
        <x:f>B12*C12*D12</x:f>
        <x:v>51636653336197.77</x:v>
      </x:c>
      <x:c r="F12" t="n">
        <x:f>E12/$E$10-1</x:f>
        <x:v>1.4700000000000002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9" t="str">
        <x:v>Early Warning System - Risk Signals</x:v>
      </x:c>
    </x:row>
    <x:row r="3">
      <x:c r="A3" s="12" t="str">
        <x:v>loan_id</x:v>
      </x:c>
      <x:c r="B3" s="12" t="str">
        <x:v>rating</x:v>
      </x:c>
      <x:c r="C3" s="12" t="str">
        <x:v>dpd</x:v>
      </x:c>
      <x:c r="D3" s="12" t="str">
        <x:v>dscr</x:v>
      </x:c>
      <x:c r="E3" s="12" t="str">
        <x:v>leverage</x:v>
      </x:c>
      <x:c r="F3" s="12" t="str">
        <x:v>early_warning_flag</x:v>
      </x:c>
      <x:c r="G3" s="12" t="str">
        <x:v>key_reason</x:v>
      </x:c>
    </x:row>
    <x:row r="4">
      <x:c r="A4" t="str">
        <x:f>'02_Loan_Portfolio'!A2</x:f>
        <x:v>LN00001</x:v>
      </x:c>
      <x:c r="B4" t="str">
        <x:f>'02_Loan_Portfolio'!E2</x:f>
        <x:v>BB</x:v>
      </x:c>
      <x:c r="C4" t="n">
        <x:f>'02_Loan_Portfolio'!L2</x:f>
        <x:v>0</x:v>
      </x:c>
      <x:c r="D4" t="n">
        <x:f>'02_Loan_Portfolio'!J2</x:f>
        <x:v>2.343</x:v>
      </x:c>
      <x:c r="E4" t="n">
        <x:f>'02_Loan_Portfolio'!K2</x:f>
        <x:v>1.405</x:v>
      </x:c>
      <x:c r="F4" t="str">
        <x:f>IF(OR(C4&gt;=30,D4&lt;1.1,E4&gt;5),"Red",IF(OR(C4&gt;0,D4&lt;1.3,E4&gt;4),"Amber","Green"))</x:f>
        <x:v>Green</x:v>
      </x:c>
      <x:c r="G4" t="str">
        <x:f>IF(C4&gt;=30,"DPD deterioration",IF(D4&lt;1.1,"DSCR weakness",IF(E4&gt;5,"High leverage","Normal")))</x:f>
        <x:v>Normal</x:v>
      </x:c>
    </x:row>
    <x:row r="5">
      <x:c r="A5" t="str">
        <x:f>'02_Loan_Portfolio'!A3</x:f>
        <x:v>LN00002</x:v>
      </x:c>
      <x:c r="B5" t="str">
        <x:f>'02_Loan_Portfolio'!E3</x:f>
        <x:v>BBB</x:v>
      </x:c>
      <x:c r="C5" t="n">
        <x:f>'02_Loan_Portfolio'!L3</x:f>
        <x:v>0</x:v>
      </x:c>
      <x:c r="D5" t="n">
        <x:f>'02_Loan_Portfolio'!J3</x:f>
        <x:v>1.628</x:v>
      </x:c>
      <x:c r="E5" t="n">
        <x:f>'02_Loan_Portfolio'!K3</x:f>
        <x:v>3.887</x:v>
      </x:c>
      <x:c r="F5" t="str">
        <x:f>IF(OR(C5&gt;=30,D5&lt;1.1,E5&gt;5),"Red",IF(OR(C5&gt;0,D5&lt;1.3,E5&gt;4),"Amber","Green"))</x:f>
        <x:v>Green</x:v>
      </x:c>
      <x:c r="G5" t="str">
        <x:f>IF(C5&gt;=30,"DPD deterioration",IF(D5&lt;1.1,"DSCR weakness",IF(E5&gt;5,"High leverage","Normal")))</x:f>
        <x:v>Normal</x:v>
      </x:c>
    </x:row>
    <x:row r="6">
      <x:c r="A6" t="str">
        <x:f>'02_Loan_Portfolio'!A4</x:f>
        <x:v>LN00003</x:v>
      </x:c>
      <x:c r="B6" t="str">
        <x:f>'02_Loan_Portfolio'!E4</x:f>
        <x:v>B</x:v>
      </x:c>
      <x:c r="C6" t="n">
        <x:f>'02_Loan_Portfolio'!L4</x:f>
        <x:v>0</x:v>
      </x:c>
      <x:c r="D6" t="n">
        <x:f>'02_Loan_Portfolio'!J4</x:f>
        <x:v>1.13</x:v>
      </x:c>
      <x:c r="E6" t="n">
        <x:f>'02_Loan_Portfolio'!K4</x:f>
        <x:v>4.386</x:v>
      </x:c>
      <x:c r="F6" t="str">
        <x:f>IF(OR(C6&gt;=30,D6&lt;1.1,E6&gt;5),"Red",IF(OR(C6&gt;0,D6&lt;1.3,E6&gt;4),"Amber","Green"))</x:f>
        <x:v>Amber</x:v>
      </x:c>
      <x:c r="G6" t="str">
        <x:f>IF(C6&gt;=30,"DPD deterioration",IF(D6&lt;1.1,"DSCR weakness",IF(E6&gt;5,"High leverage","Normal")))</x:f>
        <x:v>Normal</x:v>
      </x:c>
    </x:row>
    <x:row r="7">
      <x:c r="A7" t="str">
        <x:f>'02_Loan_Portfolio'!A5</x:f>
        <x:v>LN00004</x:v>
      </x:c>
      <x:c r="B7" t="str">
        <x:f>'02_Loan_Portfolio'!E5</x:f>
        <x:v>A</x:v>
      </x:c>
      <x:c r="C7" t="n">
        <x:f>'02_Loan_Portfolio'!L5</x:f>
        <x:v>0</x:v>
      </x:c>
      <x:c r="D7" t="n">
        <x:f>'02_Loan_Portfolio'!J5</x:f>
        <x:v>1.909</x:v>
      </x:c>
      <x:c r="E7" t="n">
        <x:f>'02_Loan_Portfolio'!K5</x:f>
        <x:v>4.268</x:v>
      </x:c>
      <x:c r="F7" t="str">
        <x:f>IF(OR(C7&gt;=30,D7&lt;1.1,E7&gt;5),"Red",IF(OR(C7&gt;0,D7&lt;1.3,E7&gt;4),"Amber","Green"))</x:f>
        <x:v>Amber</x:v>
      </x:c>
      <x:c r="G7" t="str">
        <x:f>IF(C7&gt;=30,"DPD deterioration",IF(D7&lt;1.1,"DSCR weakness",IF(E7&gt;5,"High leverage","Normal")))</x:f>
        <x:v>Normal</x:v>
      </x:c>
    </x:row>
    <x:row r="8">
      <x:c r="A8" t="str">
        <x:f>'02_Loan_Portfolio'!A6</x:f>
        <x:v>LN00005</x:v>
      </x:c>
      <x:c r="B8" t="str">
        <x:f>'02_Loan_Portfolio'!E6</x:f>
        <x:v>BBB</x:v>
      </x:c>
      <x:c r="C8" t="n">
        <x:f>'02_Loan_Portfolio'!L6</x:f>
        <x:v>0</x:v>
      </x:c>
      <x:c r="D8" t="n">
        <x:f>'02_Loan_Portfolio'!J6</x:f>
        <x:v>1.896</x:v>
      </x:c>
      <x:c r="E8" t="n">
        <x:f>'02_Loan_Portfolio'!K6</x:f>
        <x:v>3.093</x:v>
      </x:c>
      <x:c r="F8" t="str">
        <x:f>IF(OR(C8&gt;=30,D8&lt;1.1,E8&gt;5),"Red",IF(OR(C8&gt;0,D8&lt;1.3,E8&gt;4),"Amber","Green"))</x:f>
        <x:v>Green</x:v>
      </x:c>
      <x:c r="G8" t="str">
        <x:f>IF(C8&gt;=30,"DPD deterioration",IF(D8&lt;1.1,"DSCR weakness",IF(E8&gt;5,"High leverage","Normal")))</x:f>
        <x:v>Normal</x:v>
      </x:c>
    </x:row>
    <x:row r="9">
      <x:c r="A9" t="str">
        <x:f>'02_Loan_Portfolio'!A7</x:f>
        <x:v>LN00006</x:v>
      </x:c>
      <x:c r="B9" t="str">
        <x:f>'02_Loan_Portfolio'!E7</x:f>
        <x:v>BBB</x:v>
      </x:c>
      <x:c r="C9" t="n">
        <x:f>'02_Loan_Portfolio'!L7</x:f>
        <x:v>0</x:v>
      </x:c>
      <x:c r="D9" t="n">
        <x:f>'02_Loan_Portfolio'!J7</x:f>
        <x:v>1.144</x:v>
      </x:c>
      <x:c r="E9" t="n">
        <x:f>'02_Loan_Portfolio'!K7</x:f>
        <x:v>4.005</x:v>
      </x:c>
      <x:c r="F9" t="str">
        <x:f>IF(OR(C9&gt;=30,D9&lt;1.1,E9&gt;5),"Red",IF(OR(C9&gt;0,D9&lt;1.3,E9&gt;4),"Amber","Green"))</x:f>
        <x:v>Amber</x:v>
      </x:c>
      <x:c r="G9" t="str">
        <x:f>IF(C9&gt;=30,"DPD deterioration",IF(D9&lt;1.1,"DSCR weakness",IF(E9&gt;5,"High leverage","Normal")))</x:f>
        <x:v>Normal</x:v>
      </x:c>
    </x:row>
    <x:row r="10">
      <x:c r="A10" t="str">
        <x:f>'02_Loan_Portfolio'!A8</x:f>
        <x:v>LN00007</x:v>
      </x:c>
      <x:c r="B10" t="str">
        <x:f>'02_Loan_Portfolio'!E8</x:f>
        <x:v>BB</x:v>
      </x:c>
      <x:c r="C10" t="n">
        <x:f>'02_Loan_Portfolio'!L8</x:f>
        <x:v>35</x:v>
      </x:c>
      <x:c r="D10" t="n">
        <x:f>'02_Loan_Portfolio'!J8</x:f>
        <x:v>1.883</x:v>
      </x:c>
      <x:c r="E10" t="n">
        <x:f>'02_Loan_Portfolio'!K8</x:f>
        <x:v>0.2</x:v>
      </x:c>
      <x:c r="F10" t="str">
        <x:f>IF(OR(C10&gt;=30,D10&lt;1.1,E10&gt;5),"Red",IF(OR(C10&gt;0,D10&lt;1.3,E10&gt;4),"Amber","Green"))</x:f>
        <x:v>Red</x:v>
      </x:c>
      <x:c r="G10" t="str">
        <x:f>IF(C10&gt;=30,"DPD deterioration",IF(D10&lt;1.1,"DSCR weakness",IF(E10&gt;5,"High leverage","Normal")))</x:f>
        <x:v>DPD deterioration</x:v>
      </x:c>
    </x:row>
    <x:row r="11">
      <x:c r="A11" t="str">
        <x:f>'02_Loan_Portfolio'!A9</x:f>
        <x:v>LN00008</x:v>
      </x:c>
      <x:c r="B11" t="str">
        <x:f>'02_Loan_Portfolio'!E9</x:f>
        <x:v>BBB</x:v>
      </x:c>
      <x:c r="C11" t="n">
        <x:f>'02_Loan_Portfolio'!L9</x:f>
        <x:v>0</x:v>
      </x:c>
      <x:c r="D11" t="n">
        <x:f>'02_Loan_Portfolio'!J9</x:f>
        <x:v>1.455</x:v>
      </x:c>
      <x:c r="E11" t="n">
        <x:f>'02_Loan_Portfolio'!K9</x:f>
        <x:v>3.197</x:v>
      </x:c>
      <x:c r="F11" t="str">
        <x:f>IF(OR(C11&gt;=30,D11&lt;1.1,E11&gt;5),"Red",IF(OR(C11&gt;0,D11&lt;1.3,E11&gt;4),"Amber","Green"))</x:f>
        <x:v>Green</x:v>
      </x:c>
      <x:c r="G11" t="str">
        <x:f>IF(C11&gt;=30,"DPD deterioration",IF(D11&lt;1.1,"DSCR weakness",IF(E11&gt;5,"High leverage","Normal")))</x:f>
        <x:v>Normal</x:v>
      </x:c>
    </x:row>
    <x:row r="12">
      <x:c r="A12" t="str">
        <x:f>'02_Loan_Portfolio'!A10</x:f>
        <x:v>LN00009</x:v>
      </x:c>
      <x:c r="B12" t="str">
        <x:f>'02_Loan_Portfolio'!E10</x:f>
        <x:v>B</x:v>
      </x:c>
      <x:c r="C12" t="n">
        <x:f>'02_Loan_Portfolio'!L10</x:f>
        <x:v>0</x:v>
      </x:c>
      <x:c r="D12" t="n">
        <x:f>'02_Loan_Portfolio'!J10</x:f>
        <x:v>1.819</x:v>
      </x:c>
      <x:c r="E12" t="n">
        <x:f>'02_Loan_Portfolio'!K10</x:f>
        <x:v>0.549</x:v>
      </x:c>
      <x:c r="F12" t="str">
        <x:f>IF(OR(C12&gt;=30,D12&lt;1.1,E12&gt;5),"Red",IF(OR(C12&gt;0,D12&lt;1.3,E12&gt;4),"Amber","Green"))</x:f>
        <x:v>Green</x:v>
      </x:c>
      <x:c r="G12" t="str">
        <x:f>IF(C12&gt;=30,"DPD deterioration",IF(D12&lt;1.1,"DSCR weakness",IF(E12&gt;5,"High leverage","Normal")))</x:f>
        <x:v>Normal</x:v>
      </x:c>
    </x:row>
    <x:row r="13">
      <x:c r="A13" t="str">
        <x:f>'02_Loan_Portfolio'!A11</x:f>
        <x:v>LN00010</x:v>
      </x:c>
      <x:c r="B13" t="str">
        <x:f>'02_Loan_Portfolio'!E11</x:f>
        <x:v>AA</x:v>
      </x:c>
      <x:c r="C13" t="n">
        <x:f>'02_Loan_Portfolio'!L11</x:f>
        <x:v>0</x:v>
      </x:c>
      <x:c r="D13" t="n">
        <x:f>'02_Loan_Portfolio'!J11</x:f>
        <x:v>1.389</x:v>
      </x:c>
      <x:c r="E13" t="n">
        <x:f>'02_Loan_Portfolio'!K11</x:f>
        <x:v>2.862</x:v>
      </x:c>
      <x:c r="F13" t="str">
        <x:f>IF(OR(C13&gt;=30,D13&lt;1.1,E13&gt;5),"Red",IF(OR(C13&gt;0,D13&lt;1.3,E13&gt;4),"Amber","Green"))</x:f>
        <x:v>Green</x:v>
      </x:c>
      <x:c r="G13" t="str">
        <x:f>IF(C13&gt;=30,"DPD deterioration",IF(D13&lt;1.1,"DSCR weakness",IF(E13&gt;5,"High leverage","Normal")))</x:f>
        <x:v>Normal</x:v>
      </x:c>
    </x:row>
    <x:row r="14">
      <x:c r="A14" t="str">
        <x:f>'02_Loan_Portfolio'!A12</x:f>
        <x:v>LN00011</x:v>
      </x:c>
      <x:c r="B14" t="str">
        <x:f>'02_Loan_Portfolio'!E12</x:f>
        <x:v>BBB</x:v>
      </x:c>
      <x:c r="C14" t="n">
        <x:f>'02_Loan_Portfolio'!L12</x:f>
        <x:v>5</x:v>
      </x:c>
      <x:c r="D14" t="n">
        <x:f>'02_Loan_Portfolio'!J12</x:f>
        <x:v>2.293</x:v>
      </x:c>
      <x:c r="E14" t="n">
        <x:f>'02_Loan_Portfolio'!K12</x:f>
        <x:v>2.339</x:v>
      </x:c>
      <x:c r="F14" t="str">
        <x:f>IF(OR(C14&gt;=30,D14&lt;1.1,E14&gt;5),"Red",IF(OR(C14&gt;0,D14&lt;1.3,E14&gt;4),"Amber","Green"))</x:f>
        <x:v>Amber</x:v>
      </x:c>
      <x:c r="G14" t="str">
        <x:f>IF(C14&gt;=30,"DPD deterioration",IF(D14&lt;1.1,"DSCR weakness",IF(E14&gt;5,"High leverage","Normal")))</x:f>
        <x:v>Normal</x:v>
      </x:c>
    </x:row>
    <x:row r="15">
      <x:c r="A15" t="str">
        <x:f>'02_Loan_Portfolio'!A13</x:f>
        <x:v>LN00012</x:v>
      </x:c>
      <x:c r="B15" t="str">
        <x:f>'02_Loan_Portfolio'!E13</x:f>
        <x:v>BB</x:v>
      </x:c>
      <x:c r="C15" t="n">
        <x:f>'02_Loan_Portfolio'!L13</x:f>
        <x:v>15</x:v>
      </x:c>
      <x:c r="D15" t="n">
        <x:f>'02_Loan_Portfolio'!J13</x:f>
        <x:v>2.458</x:v>
      </x:c>
      <x:c r="E15" t="n">
        <x:f>'02_Loan_Portfolio'!K13</x:f>
        <x:v>2.482</x:v>
      </x:c>
      <x:c r="F15" t="str">
        <x:f>IF(OR(C15&gt;=30,D15&lt;1.1,E15&gt;5),"Red",IF(OR(C15&gt;0,D15&lt;1.3,E15&gt;4),"Amber","Green"))</x:f>
        <x:v>Amber</x:v>
      </x:c>
      <x:c r="G15" t="str">
        <x:f>IF(C15&gt;=30,"DPD deterioration",IF(D15&lt;1.1,"DSCR weakness",IF(E15&gt;5,"High leverage","Normal")))</x:f>
        <x:v>Normal</x:v>
      </x:c>
    </x:row>
    <x:row r="16">
      <x:c r="A16" t="str">
        <x:f>'02_Loan_Portfolio'!A14</x:f>
        <x:v>LN00013</x:v>
      </x:c>
      <x:c r="B16" t="str">
        <x:f>'02_Loan_Portfolio'!E14</x:f>
        <x:v>BBB</x:v>
      </x:c>
      <x:c r="C16" t="n">
        <x:f>'02_Loan_Portfolio'!L14</x:f>
        <x:v>0</x:v>
      </x:c>
      <x:c r="D16" t="n">
        <x:f>'02_Loan_Portfolio'!J14</x:f>
        <x:v>1.645</x:v>
      </x:c>
      <x:c r="E16" t="n">
        <x:f>'02_Loan_Portfolio'!K14</x:f>
        <x:v>2.857</x:v>
      </x:c>
      <x:c r="F16" t="str">
        <x:f>IF(OR(C16&gt;=30,D16&lt;1.1,E16&gt;5),"Red",IF(OR(C16&gt;0,D16&lt;1.3,E16&gt;4),"Amber","Green"))</x:f>
        <x:v>Green</x:v>
      </x:c>
      <x:c r="G16" t="str">
        <x:f>IF(C16&gt;=30,"DPD deterioration",IF(D16&lt;1.1,"DSCR weakness",IF(E16&gt;5,"High leverage","Normal")))</x:f>
        <x:v>Normal</x:v>
      </x:c>
    </x:row>
    <x:row r="17">
      <x:c r="A17" t="str">
        <x:f>'02_Loan_Portfolio'!A15</x:f>
        <x:v>LN00014</x:v>
      </x:c>
      <x:c r="B17" t="str">
        <x:f>'02_Loan_Portfolio'!E15</x:f>
        <x:v>B</x:v>
      </x:c>
      <x:c r="C17" t="n">
        <x:f>'02_Loan_Portfolio'!L15</x:f>
        <x:v>35</x:v>
      </x:c>
      <x:c r="D17" t="n">
        <x:f>'02_Loan_Portfolio'!J15</x:f>
        <x:v>2.846</x:v>
      </x:c>
      <x:c r="E17" t="n">
        <x:f>'02_Loan_Portfolio'!K15</x:f>
        <x:v>3.188</x:v>
      </x:c>
      <x:c r="F17" t="str">
        <x:f>IF(OR(C17&gt;=30,D17&lt;1.1,E17&gt;5),"Red",IF(OR(C17&gt;0,D17&lt;1.3,E17&gt;4),"Amber","Green"))</x:f>
        <x:v>Red</x:v>
      </x:c>
      <x:c r="G17" t="str">
        <x:f>IF(C17&gt;=30,"DPD deterioration",IF(D17&lt;1.1,"DSCR weakness",IF(E17&gt;5,"High leverage","Normal")))</x:f>
        <x:v>DPD deterioration</x:v>
      </x:c>
    </x:row>
    <x:row r="18">
      <x:c r="A18" t="str">
        <x:f>'02_Loan_Portfolio'!A16</x:f>
        <x:v>LN00015</x:v>
      </x:c>
      <x:c r="B18" t="str">
        <x:f>'02_Loan_Portfolio'!E16</x:f>
        <x:v>BBB</x:v>
      </x:c>
      <x:c r="C18" t="n">
        <x:f>'02_Loan_Portfolio'!L16</x:f>
        <x:v>5</x:v>
      </x:c>
      <x:c r="D18" t="n">
        <x:f>'02_Loan_Portfolio'!J16</x:f>
        <x:v>1.208</x:v>
      </x:c>
      <x:c r="E18" t="n">
        <x:f>'02_Loan_Portfolio'!K16</x:f>
        <x:v>0.2</x:v>
      </x:c>
      <x:c r="F18" t="str">
        <x:f>IF(OR(C18&gt;=30,D18&lt;1.1,E18&gt;5),"Red",IF(OR(C18&gt;0,D18&lt;1.3,E18&gt;4),"Amber","Green"))</x:f>
        <x:v>Amber</x:v>
      </x:c>
      <x:c r="G18" t="str">
        <x:f>IF(C18&gt;=30,"DPD deterioration",IF(D18&lt;1.1,"DSCR weakness",IF(E18&gt;5,"High leverage","Normal")))</x:f>
        <x:v>Normal</x:v>
      </x:c>
    </x:row>
    <x:row r="19">
      <x:c r="A19" t="str">
        <x:f>'02_Loan_Portfolio'!A17</x:f>
        <x:v>LN00016</x:v>
      </x:c>
      <x:c r="B19" t="str">
        <x:f>'02_Loan_Portfolio'!E17</x:f>
        <x:v>BB</x:v>
      </x:c>
      <x:c r="C19" t="n">
        <x:f>'02_Loan_Portfolio'!L17</x:f>
        <x:v>0</x:v>
      </x:c>
      <x:c r="D19" t="n">
        <x:f>'02_Loan_Portfolio'!J17</x:f>
        <x:v>0.724</x:v>
      </x:c>
      <x:c r="E19" t="n">
        <x:f>'02_Loan_Portfolio'!K17</x:f>
        <x:v>3.151</x:v>
      </x:c>
      <x:c r="F19" t="str">
        <x:f>IF(OR(C19&gt;=30,D19&lt;1.1,E19&gt;5),"Red",IF(OR(C19&gt;0,D19&lt;1.3,E19&gt;4),"Amber","Green"))</x:f>
        <x:v>Red</x:v>
      </x:c>
      <x:c r="G19" t="str">
        <x:f>IF(C19&gt;=30,"DPD deterioration",IF(D19&lt;1.1,"DSCR weakness",IF(E19&gt;5,"High leverage","Normal")))</x:f>
        <x:v>DSCR weakness</x:v>
      </x:c>
    </x:row>
    <x:row r="20">
      <x:c r="A20" t="str">
        <x:f>'02_Loan_Portfolio'!A18</x:f>
        <x:v>LN00017</x:v>
      </x:c>
      <x:c r="B20" t="str">
        <x:f>'02_Loan_Portfolio'!E18</x:f>
        <x:v>A</x:v>
      </x:c>
      <x:c r="C20" t="n">
        <x:f>'02_Loan_Portfolio'!L18</x:f>
        <x:v>0</x:v>
      </x:c>
      <x:c r="D20" t="n">
        <x:f>'02_Loan_Portfolio'!J18</x:f>
        <x:v>2.154</x:v>
      </x:c>
      <x:c r="E20" t="n">
        <x:f>'02_Loan_Portfolio'!K18</x:f>
        <x:v>0.2</x:v>
      </x:c>
      <x:c r="F20" t="str">
        <x:f>IF(OR(C20&gt;=30,D20&lt;1.1,E20&gt;5),"Red",IF(OR(C20&gt;0,D20&lt;1.3,E20&gt;4),"Amber","Green"))</x:f>
        <x:v>Green</x:v>
      </x:c>
      <x:c r="G20" t="str">
        <x:f>IF(C20&gt;=30,"DPD deterioration",IF(D20&lt;1.1,"DSCR weakness",IF(E20&gt;5,"High leverage","Normal")))</x:f>
        <x:v>Normal</x:v>
      </x:c>
    </x:row>
    <x:row r="21">
      <x:c r="A21" t="str">
        <x:f>'02_Loan_Portfolio'!A19</x:f>
        <x:v>LN00018</x:v>
      </x:c>
      <x:c r="B21" t="str">
        <x:f>'02_Loan_Portfolio'!E19</x:f>
        <x:v>BBB</x:v>
      </x:c>
      <x:c r="C21" t="n">
        <x:f>'02_Loan_Portfolio'!L19</x:f>
        <x:v>35</x:v>
      </x:c>
      <x:c r="D21" t="n">
        <x:f>'02_Loan_Portfolio'!J19</x:f>
        <x:v>2.141</x:v>
      </x:c>
      <x:c r="E21" t="n">
        <x:f>'02_Loan_Portfolio'!K19</x:f>
        <x:v>3.631</x:v>
      </x:c>
      <x:c r="F21" t="str">
        <x:f>IF(OR(C21&gt;=30,D21&lt;1.1,E21&gt;5),"Red",IF(OR(C21&gt;0,D21&lt;1.3,E21&gt;4),"Amber","Green"))</x:f>
        <x:v>Red</x:v>
      </x:c>
      <x:c r="G21" t="str">
        <x:f>IF(C21&gt;=30,"DPD deterioration",IF(D21&lt;1.1,"DSCR weakness",IF(E21&gt;5,"High leverage","Normal")))</x:f>
        <x:v>DPD deterioration</x:v>
      </x:c>
    </x:row>
    <x:row r="22">
      <x:c r="A22" t="str">
        <x:f>'02_Loan_Portfolio'!A20</x:f>
        <x:v>LN00019</x:v>
      </x:c>
      <x:c r="B22" t="str">
        <x:f>'02_Loan_Portfolio'!E20</x:f>
        <x:v>B</x:v>
      </x:c>
      <x:c r="C22" t="n">
        <x:f>'02_Loan_Portfolio'!L20</x:f>
        <x:v>0</x:v>
      </x:c>
      <x:c r="D22" t="n">
        <x:f>'02_Loan_Portfolio'!J20</x:f>
        <x:v>1.377</x:v>
      </x:c>
      <x:c r="E22" t="n">
        <x:f>'02_Loan_Portfolio'!K20</x:f>
        <x:v>1.486</x:v>
      </x:c>
      <x:c r="F22" t="str">
        <x:f>IF(OR(C22&gt;=30,D22&lt;1.1,E22&gt;5),"Red",IF(OR(C22&gt;0,D22&lt;1.3,E22&gt;4),"Amber","Green"))</x:f>
        <x:v>Green</x:v>
      </x:c>
      <x:c r="G22" t="str">
        <x:f>IF(C22&gt;=30,"DPD deterioration",IF(D22&lt;1.1,"DSCR weakness",IF(E22&gt;5,"High leverage","Normal")))</x:f>
        <x:v>Normal</x:v>
      </x:c>
    </x:row>
    <x:row r="23">
      <x:c r="A23" t="str">
        <x:f>'02_Loan_Portfolio'!A21</x:f>
        <x:v>LN00020</x:v>
      </x:c>
      <x:c r="B23" t="str">
        <x:f>'02_Loan_Portfolio'!E21</x:f>
        <x:v>BB</x:v>
      </x:c>
      <x:c r="C23" t="n">
        <x:f>'02_Loan_Portfolio'!L21</x:f>
        <x:v>0</x:v>
      </x:c>
      <x:c r="D23" t="n">
        <x:f>'02_Loan_Portfolio'!J21</x:f>
        <x:v>2.681</x:v>
      </x:c>
      <x:c r="E23" t="n">
        <x:f>'02_Loan_Portfolio'!K21</x:f>
        <x:v>1.682</x:v>
      </x:c>
      <x:c r="F23" t="str">
        <x:f>IF(OR(C23&gt;=30,D23&lt;1.1,E23&gt;5),"Red",IF(OR(C23&gt;0,D23&lt;1.3,E23&gt;4),"Amber","Green"))</x:f>
        <x:v>Green</x:v>
      </x:c>
      <x:c r="G23" t="str">
        <x:f>IF(C23&gt;=30,"DPD deterioration",IF(D23&lt;1.1,"DSCR weakness",IF(E23&gt;5,"High leverage","Normal")))</x:f>
        <x:v>Normal</x:v>
      </x:c>
    </x:row>
    <x:row r="24">
      <x:c r="A24" t="str">
        <x:f>'02_Loan_Portfolio'!A22</x:f>
        <x:v>LN00021</x:v>
      </x:c>
      <x:c r="B24" t="str">
        <x:f>'02_Loan_Portfolio'!E22</x:f>
        <x:v>BB</x:v>
      </x:c>
      <x:c r="C24" t="n">
        <x:f>'02_Loan_Portfolio'!L22</x:f>
        <x:v>0</x:v>
      </x:c>
      <x:c r="D24" t="n">
        <x:f>'02_Loan_Portfolio'!J22</x:f>
        <x:v>1.515</x:v>
      </x:c>
      <x:c r="E24" t="n">
        <x:f>'02_Loan_Portfolio'!K22</x:f>
        <x:v>3.425</x:v>
      </x:c>
      <x:c r="F24" t="str">
        <x:f>IF(OR(C24&gt;=30,D24&lt;1.1,E24&gt;5),"Red",IF(OR(C24&gt;0,D24&lt;1.3,E24&gt;4),"Amber","Green"))</x:f>
        <x:v>Green</x:v>
      </x:c>
      <x:c r="G24" t="str">
        <x:f>IF(C24&gt;=30,"DPD deterioration",IF(D24&lt;1.1,"DSCR weakness",IF(E24&gt;5,"High leverage","Normal")))</x:f>
        <x:v>Normal</x:v>
      </x:c>
    </x:row>
    <x:row r="25">
      <x:c r="A25" t="str">
        <x:f>'02_Loan_Portfolio'!A23</x:f>
        <x:v>LN00022</x:v>
      </x:c>
      <x:c r="B25" t="str">
        <x:f>'02_Loan_Portfolio'!E23</x:f>
        <x:v>A</x:v>
      </x:c>
      <x:c r="C25" t="n">
        <x:f>'02_Loan_Portfolio'!L23</x:f>
        <x:v>35</x:v>
      </x:c>
      <x:c r="D25" t="n">
        <x:f>'02_Loan_Portfolio'!J23</x:f>
        <x:v>1.163</x:v>
      </x:c>
      <x:c r="E25" t="n">
        <x:f>'02_Loan_Portfolio'!K23</x:f>
        <x:v>4.282</x:v>
      </x:c>
      <x:c r="F25" t="str">
        <x:f>IF(OR(C25&gt;=30,D25&lt;1.1,E25&gt;5),"Red",IF(OR(C25&gt;0,D25&lt;1.3,E25&gt;4),"Amber","Green"))</x:f>
        <x:v>Red</x:v>
      </x:c>
      <x:c r="G25" t="str">
        <x:f>IF(C25&gt;=30,"DPD deterioration",IF(D25&lt;1.1,"DSCR weakness",IF(E25&gt;5,"High leverage","Normal")))</x:f>
        <x:v>DPD deterioration</x:v>
      </x:c>
    </x:row>
    <x:row r="26">
      <x:c r="A26" t="str">
        <x:f>'02_Loan_Portfolio'!A24</x:f>
        <x:v>LN00023</x:v>
      </x:c>
      <x:c r="B26" t="str">
        <x:f>'02_Loan_Portfolio'!E24</x:f>
        <x:v>A</x:v>
      </x:c>
      <x:c r="C26" t="n">
        <x:f>'02_Loan_Portfolio'!L24</x:f>
        <x:v>0</x:v>
      </x:c>
      <x:c r="D26" t="n">
        <x:f>'02_Loan_Portfolio'!J24</x:f>
        <x:v>1.398</x:v>
      </x:c>
      <x:c r="E26" t="n">
        <x:f>'02_Loan_Portfolio'!K24</x:f>
        <x:v>3.356</x:v>
      </x:c>
      <x:c r="F26" t="str">
        <x:f>IF(OR(C26&gt;=30,D26&lt;1.1,E26&gt;5),"Red",IF(OR(C26&gt;0,D26&lt;1.3,E26&gt;4),"Amber","Green"))</x:f>
        <x:v>Green</x:v>
      </x:c>
      <x:c r="G26" t="str">
        <x:f>IF(C26&gt;=30,"DPD deterioration",IF(D26&lt;1.1,"DSCR weakness",IF(E26&gt;5,"High leverage","Normal")))</x:f>
        <x:v>Normal</x:v>
      </x:c>
    </x:row>
    <x:row r="27">
      <x:c r="A27" t="str">
        <x:f>'02_Loan_Portfolio'!A25</x:f>
        <x:v>LN00024</x:v>
      </x:c>
      <x:c r="B27" t="str">
        <x:f>'02_Loan_Portfolio'!E25</x:f>
        <x:v>B</x:v>
      </x:c>
      <x:c r="C27" t="n">
        <x:f>'02_Loan_Portfolio'!L25</x:f>
        <x:v>0</x:v>
      </x:c>
      <x:c r="D27" t="n">
        <x:f>'02_Loan_Portfolio'!J25</x:f>
        <x:v>1.763</x:v>
      </x:c>
      <x:c r="E27" t="n">
        <x:f>'02_Loan_Portfolio'!K25</x:f>
        <x:v>3.723</x:v>
      </x:c>
      <x:c r="F27" t="str">
        <x:f>IF(OR(C27&gt;=30,D27&lt;1.1,E27&gt;5),"Red",IF(OR(C27&gt;0,D27&lt;1.3,E27&gt;4),"Amber","Green"))</x:f>
        <x:v>Green</x:v>
      </x:c>
      <x:c r="G27" t="str">
        <x:f>IF(C27&gt;=30,"DPD deterioration",IF(D27&lt;1.1,"DSCR weakness",IF(E27&gt;5,"High leverage","Normal")))</x:f>
        <x:v>Normal</x:v>
      </x:c>
    </x:row>
    <x:row r="28">
      <x:c r="A28" t="str">
        <x:f>'02_Loan_Portfolio'!A26</x:f>
        <x:v>LN00025</x:v>
      </x:c>
      <x:c r="B28" t="str">
        <x:f>'02_Loan_Portfolio'!E26</x:f>
        <x:v>A</x:v>
      </x:c>
      <x:c r="C28" t="n">
        <x:f>'02_Loan_Portfolio'!L26</x:f>
        <x:v>0</x:v>
      </x:c>
      <x:c r="D28" t="n">
        <x:f>'02_Loan_Portfolio'!J26</x:f>
        <x:v>2.155</x:v>
      </x:c>
      <x:c r="E28" t="n">
        <x:f>'02_Loan_Portfolio'!K26</x:f>
        <x:v>2.456</x:v>
      </x:c>
      <x:c r="F28" t="str">
        <x:f>IF(OR(C28&gt;=30,D28&lt;1.1,E28&gt;5),"Red",IF(OR(C28&gt;0,D28&lt;1.3,E28&gt;4),"Amber","Green"))</x:f>
        <x:v>Green</x:v>
      </x:c>
      <x:c r="G28" t="str">
        <x:f>IF(C28&gt;=30,"DPD deterioration",IF(D28&lt;1.1,"DSCR weakness",IF(E28&gt;5,"High leverage","Normal")))</x:f>
        <x:v>Normal</x:v>
      </x:c>
    </x:row>
    <x:row r="29">
      <x:c r="A29" t="str">
        <x:f>'02_Loan_Portfolio'!A27</x:f>
        <x:v>LN00026</x:v>
      </x:c>
      <x:c r="B29" t="str">
        <x:f>'02_Loan_Portfolio'!E27</x:f>
        <x:v>B</x:v>
      </x:c>
      <x:c r="C29" t="n">
        <x:f>'02_Loan_Portfolio'!L27</x:f>
        <x:v>5</x:v>
      </x:c>
      <x:c r="D29" t="n">
        <x:f>'02_Loan_Portfolio'!J27</x:f>
        <x:v>0.582</x:v>
      </x:c>
      <x:c r="E29" t="n">
        <x:f>'02_Loan_Portfolio'!K27</x:f>
        <x:v>4.628</x:v>
      </x:c>
      <x:c r="F29" t="str">
        <x:f>IF(OR(C29&gt;=30,D29&lt;1.1,E29&gt;5),"Red",IF(OR(C29&gt;0,D29&lt;1.3,E29&gt;4),"Amber","Green"))</x:f>
        <x:v>Red</x:v>
      </x:c>
      <x:c r="G29" t="str">
        <x:f>IF(C29&gt;=30,"DPD deterioration",IF(D29&lt;1.1,"DSCR weakness",IF(E29&gt;5,"High leverage","Normal")))</x:f>
        <x:v>DSCR weakness</x:v>
      </x:c>
    </x:row>
    <x:row r="30">
      <x:c r="A30" t="str">
        <x:f>'02_Loan_Portfolio'!A28</x:f>
        <x:v>LN00027</x:v>
      </x:c>
      <x:c r="B30" t="str">
        <x:f>'02_Loan_Portfolio'!E28</x:f>
        <x:v>BB</x:v>
      </x:c>
      <x:c r="C30" t="n">
        <x:f>'02_Loan_Portfolio'!L28</x:f>
        <x:v>0</x:v>
      </x:c>
      <x:c r="D30" t="n">
        <x:f>'02_Loan_Portfolio'!J28</x:f>
        <x:v>2.426</x:v>
      </x:c>
      <x:c r="E30" t="n">
        <x:f>'02_Loan_Portfolio'!K28</x:f>
        <x:v>1.867</x:v>
      </x:c>
      <x:c r="F30" t="str">
        <x:f>IF(OR(C30&gt;=30,D30&lt;1.1,E30&gt;5),"Red",IF(OR(C30&gt;0,D30&lt;1.3,E30&gt;4),"Amber","Green"))</x:f>
        <x:v>Green</x:v>
      </x:c>
      <x:c r="G30" t="str">
        <x:f>IF(C30&gt;=30,"DPD deterioration",IF(D30&lt;1.1,"DSCR weakness",IF(E30&gt;5,"High leverage","Normal")))</x:f>
        <x:v>Normal</x:v>
      </x:c>
    </x:row>
    <x:row r="31">
      <x:c r="A31" t="str">
        <x:f>'02_Loan_Portfolio'!A29</x:f>
        <x:v>LN00028</x:v>
      </x:c>
      <x:c r="B31" t="str">
        <x:f>'02_Loan_Portfolio'!E29</x:f>
        <x:v>BB</x:v>
      </x:c>
      <x:c r="C31" t="n">
        <x:f>'02_Loan_Portfolio'!L29</x:f>
        <x:v>0</x:v>
      </x:c>
      <x:c r="D31" t="n">
        <x:f>'02_Loan_Portfolio'!J29</x:f>
        <x:v>0.633</x:v>
      </x:c>
      <x:c r="E31" t="n">
        <x:f>'02_Loan_Portfolio'!K29</x:f>
        <x:v>3.705</x:v>
      </x:c>
      <x:c r="F31" t="str">
        <x:f>IF(OR(C31&gt;=30,D31&lt;1.1,E31&gt;5),"Red",IF(OR(C31&gt;0,D31&lt;1.3,E31&gt;4),"Amber","Green"))</x:f>
        <x:v>Red</x:v>
      </x:c>
      <x:c r="G31" t="str">
        <x:f>IF(C31&gt;=30,"DPD deterioration",IF(D31&lt;1.1,"DSCR weakness",IF(E31&gt;5,"High leverage","Normal")))</x:f>
        <x:v>DSCR weakness</x:v>
      </x:c>
    </x:row>
    <x:row r="32">
      <x:c r="A32" t="str">
        <x:f>'02_Loan_Portfolio'!A30</x:f>
        <x:v>LN00029</x:v>
      </x:c>
      <x:c r="B32" t="str">
        <x:f>'02_Loan_Portfolio'!E30</x:f>
        <x:v>B</x:v>
      </x:c>
      <x:c r="C32" t="n">
        <x:f>'02_Loan_Portfolio'!L30</x:f>
        <x:v>0</x:v>
      </x:c>
      <x:c r="D32" t="n">
        <x:f>'02_Loan_Portfolio'!J30</x:f>
        <x:v>2.253</x:v>
      </x:c>
      <x:c r="E32" t="n">
        <x:f>'02_Loan_Portfolio'!K30</x:f>
        <x:v>1.367</x:v>
      </x:c>
      <x:c r="F32" t="str">
        <x:f>IF(OR(C32&gt;=30,D32&lt;1.1,E32&gt;5),"Red",IF(OR(C32&gt;0,D32&lt;1.3,E32&gt;4),"Amber","Green"))</x:f>
        <x:v>Green</x:v>
      </x:c>
      <x:c r="G32" t="str">
        <x:f>IF(C32&gt;=30,"DPD deterioration",IF(D32&lt;1.1,"DSCR weakness",IF(E32&gt;5,"High leverage","Normal")))</x:f>
        <x:v>Normal</x:v>
      </x:c>
    </x:row>
    <x:row r="33">
      <x:c r="A33" t="str">
        <x:f>'02_Loan_Portfolio'!A31</x:f>
        <x:v>LN00030</x:v>
      </x:c>
      <x:c r="B33" t="str">
        <x:f>'02_Loan_Portfolio'!E31</x:f>
        <x:v>A</x:v>
      </x:c>
      <x:c r="C33" t="n">
        <x:f>'02_Loan_Portfolio'!L31</x:f>
        <x:v>65</x:v>
      </x:c>
      <x:c r="D33" t="n">
        <x:f>'02_Loan_Portfolio'!J31</x:f>
        <x:v>2.083</x:v>
      </x:c>
      <x:c r="E33" t="n">
        <x:f>'02_Loan_Portfolio'!K31</x:f>
        <x:v>1.163</x:v>
      </x:c>
      <x:c r="F33" t="str">
        <x:f>IF(OR(C33&gt;=30,D33&lt;1.1,E33&gt;5),"Red",IF(OR(C33&gt;0,D33&lt;1.3,E33&gt;4),"Amber","Green"))</x:f>
        <x:v>Red</x:v>
      </x:c>
      <x:c r="G33" t="str">
        <x:f>IF(C33&gt;=30,"DPD deterioration",IF(D33&lt;1.1,"DSCR weakness",IF(E33&gt;5,"High leverage","Normal")))</x:f>
        <x:v>DPD deterioration</x:v>
      </x:c>
    </x:row>
    <x:row r="34">
      <x:c r="A34" t="str">
        <x:f>'02_Loan_Portfolio'!A32</x:f>
        <x:v>LN00031</x:v>
      </x:c>
      <x:c r="B34" t="str">
        <x:f>'02_Loan_Portfolio'!E32</x:f>
        <x:v>BB</x:v>
      </x:c>
      <x:c r="C34" t="n">
        <x:f>'02_Loan_Portfolio'!L32</x:f>
        <x:v>0</x:v>
      </x:c>
      <x:c r="D34" t="n">
        <x:f>'02_Loan_Portfolio'!J32</x:f>
        <x:v>1.436</x:v>
      </x:c>
      <x:c r="E34" t="n">
        <x:f>'02_Loan_Portfolio'!K32</x:f>
        <x:v>4.468</x:v>
      </x:c>
      <x:c r="F34" t="str">
        <x:f>IF(OR(C34&gt;=30,D34&lt;1.1,E34&gt;5),"Red",IF(OR(C34&gt;0,D34&lt;1.3,E34&gt;4),"Amber","Green"))</x:f>
        <x:v>Amber</x:v>
      </x:c>
      <x:c r="G34" t="str">
        <x:f>IF(C34&gt;=30,"DPD deterioration",IF(D34&lt;1.1,"DSCR weakness",IF(E34&gt;5,"High leverage","Normal")))</x:f>
        <x:v>Normal</x:v>
      </x:c>
    </x:row>
    <x:row r="35">
      <x:c r="A35" t="str">
        <x:f>'02_Loan_Portfolio'!A33</x:f>
        <x:v>LN00032</x:v>
      </x:c>
      <x:c r="B35" t="str">
        <x:f>'02_Loan_Portfolio'!E33</x:f>
        <x:v>B</x:v>
      </x:c>
      <x:c r="C35" t="n">
        <x:f>'02_Loan_Portfolio'!L33</x:f>
        <x:v>0</x:v>
      </x:c>
      <x:c r="D35" t="n">
        <x:f>'02_Loan_Portfolio'!J33</x:f>
        <x:v>1.703</x:v>
      </x:c>
      <x:c r="E35" t="n">
        <x:f>'02_Loan_Portfolio'!K33</x:f>
        <x:v>4.287</x:v>
      </x:c>
      <x:c r="F35" t="str">
        <x:f>IF(OR(C35&gt;=30,D35&lt;1.1,E35&gt;5),"Red",IF(OR(C35&gt;0,D35&lt;1.3,E35&gt;4),"Amber","Green"))</x:f>
        <x:v>Amber</x:v>
      </x:c>
      <x:c r="G35" t="str">
        <x:f>IF(C35&gt;=30,"DPD deterioration",IF(D35&lt;1.1,"DSCR weakness",IF(E35&gt;5,"High leverage","Normal")))</x:f>
        <x:v>Normal</x:v>
      </x:c>
    </x:row>
    <x:row r="36">
      <x:c r="A36" t="str">
        <x:f>'02_Loan_Portfolio'!A34</x:f>
        <x:v>LN00033</x:v>
      </x:c>
      <x:c r="B36" t="str">
        <x:f>'02_Loan_Portfolio'!E34</x:f>
        <x:v>BBB</x:v>
      </x:c>
      <x:c r="C36" t="n">
        <x:f>'02_Loan_Portfolio'!L34</x:f>
        <x:v>0</x:v>
      </x:c>
      <x:c r="D36" t="n">
        <x:f>'02_Loan_Portfolio'!J34</x:f>
        <x:v>2.374</x:v>
      </x:c>
      <x:c r="E36" t="n">
        <x:f>'02_Loan_Portfolio'!K34</x:f>
        <x:v>1.335</x:v>
      </x:c>
      <x:c r="F36" t="str">
        <x:f>IF(OR(C36&gt;=30,D36&lt;1.1,E36&gt;5),"Red",IF(OR(C36&gt;0,D36&lt;1.3,E36&gt;4),"Amber","Green"))</x:f>
        <x:v>Green</x:v>
      </x:c>
      <x:c r="G36" t="str">
        <x:f>IF(C36&gt;=30,"DPD deterioration",IF(D36&lt;1.1,"DSCR weakness",IF(E36&gt;5,"High leverage","Normal")))</x:f>
        <x:v>Normal</x:v>
      </x:c>
    </x:row>
    <x:row r="37">
      <x:c r="A37" t="str">
        <x:f>'02_Loan_Portfolio'!A35</x:f>
        <x:v>LN00034</x:v>
      </x:c>
      <x:c r="B37" t="str">
        <x:f>'02_Loan_Portfolio'!E35</x:f>
        <x:v>B</x:v>
      </x:c>
      <x:c r="C37" t="n">
        <x:f>'02_Loan_Portfolio'!L35</x:f>
        <x:v>0</x:v>
      </x:c>
      <x:c r="D37" t="n">
        <x:f>'02_Loan_Portfolio'!J35</x:f>
        <x:v>2.31</x:v>
      </x:c>
      <x:c r="E37" t="n">
        <x:f>'02_Loan_Portfolio'!K35</x:f>
        <x:v>2.23</x:v>
      </x:c>
      <x:c r="F37" t="str">
        <x:f>IF(OR(C37&gt;=30,D37&lt;1.1,E37&gt;5),"Red",IF(OR(C37&gt;0,D37&lt;1.3,E37&gt;4),"Amber","Green"))</x:f>
        <x:v>Green</x:v>
      </x:c>
      <x:c r="G37" t="str">
        <x:f>IF(C37&gt;=30,"DPD deterioration",IF(D37&lt;1.1,"DSCR weakness",IF(E37&gt;5,"High leverage","Normal")))</x:f>
        <x:v>Normal</x:v>
      </x:c>
    </x:row>
    <x:row r="38">
      <x:c r="A38" t="str">
        <x:f>'02_Loan_Portfolio'!A36</x:f>
        <x:v>LN00035</x:v>
      </x:c>
      <x:c r="B38" t="str">
        <x:f>'02_Loan_Portfolio'!E36</x:f>
        <x:v>BBB</x:v>
      </x:c>
      <x:c r="C38" t="n">
        <x:f>'02_Loan_Portfolio'!L36</x:f>
        <x:v>0</x:v>
      </x:c>
      <x:c r="D38" t="n">
        <x:f>'02_Loan_Portfolio'!J36</x:f>
        <x:v>1.357</x:v>
      </x:c>
      <x:c r="E38" t="n">
        <x:f>'02_Loan_Portfolio'!K36</x:f>
        <x:v>4.48</x:v>
      </x:c>
      <x:c r="F38" t="str">
        <x:f>IF(OR(C38&gt;=30,D38&lt;1.1,E38&gt;5),"Red",IF(OR(C38&gt;0,D38&lt;1.3,E38&gt;4),"Amber","Green"))</x:f>
        <x:v>Amber</x:v>
      </x:c>
      <x:c r="G38" t="str">
        <x:f>IF(C38&gt;=30,"DPD deterioration",IF(D38&lt;1.1,"DSCR weakness",IF(E38&gt;5,"High leverage","Normal")))</x:f>
        <x:v>Normal</x:v>
      </x:c>
    </x:row>
    <x:row r="39">
      <x:c r="A39" t="str">
        <x:f>'02_Loan_Portfolio'!A37</x:f>
        <x:v>LN00036</x:v>
      </x:c>
      <x:c r="B39" t="str">
        <x:f>'02_Loan_Portfolio'!E37</x:f>
        <x:v>B</x:v>
      </x:c>
      <x:c r="C39" t="n">
        <x:f>'02_Loan_Portfolio'!L37</x:f>
        <x:v>0</x:v>
      </x:c>
      <x:c r="D39" t="n">
        <x:f>'02_Loan_Portfolio'!J37</x:f>
        <x:v>0.901</x:v>
      </x:c>
      <x:c r="E39" t="n">
        <x:f>'02_Loan_Portfolio'!K37</x:f>
        <x:v>3.632</x:v>
      </x:c>
      <x:c r="F39" t="str">
        <x:f>IF(OR(C39&gt;=30,D39&lt;1.1,E39&gt;5),"Red",IF(OR(C39&gt;0,D39&lt;1.3,E39&gt;4),"Amber","Green"))</x:f>
        <x:v>Red</x:v>
      </x:c>
      <x:c r="G39" t="str">
        <x:f>IF(C39&gt;=30,"DPD deterioration",IF(D39&lt;1.1,"DSCR weakness",IF(E39&gt;5,"High leverage","Normal")))</x:f>
        <x:v>DSCR weakness</x:v>
      </x:c>
    </x:row>
    <x:row r="40">
      <x:c r="A40" t="str">
        <x:f>'02_Loan_Portfolio'!A38</x:f>
        <x:v>LN00037</x:v>
      </x:c>
      <x:c r="B40" t="str">
        <x:f>'02_Loan_Portfolio'!E38</x:f>
        <x:v>AA</x:v>
      </x:c>
      <x:c r="C40" t="n">
        <x:f>'02_Loan_Portfolio'!L38</x:f>
        <x:v>0</x:v>
      </x:c>
      <x:c r="D40" t="n">
        <x:f>'02_Loan_Portfolio'!J38</x:f>
        <x:v>2.383</x:v>
      </x:c>
      <x:c r="E40" t="n">
        <x:f>'02_Loan_Portfolio'!K38</x:f>
        <x:v>2.297</x:v>
      </x:c>
      <x:c r="F40" t="str">
        <x:f>IF(OR(C40&gt;=30,D40&lt;1.1,E40&gt;5),"Red",IF(OR(C40&gt;0,D40&lt;1.3,E40&gt;4),"Amber","Green"))</x:f>
        <x:v>Green</x:v>
      </x:c>
      <x:c r="G40" t="str">
        <x:f>IF(C40&gt;=30,"DPD deterioration",IF(D40&lt;1.1,"DSCR weakness",IF(E40&gt;5,"High leverage","Normal")))</x:f>
        <x:v>Normal</x:v>
      </x:c>
    </x:row>
    <x:row r="41">
      <x:c r="A41" t="str">
        <x:f>'02_Loan_Portfolio'!A39</x:f>
        <x:v>LN00038</x:v>
      </x:c>
      <x:c r="B41" t="str">
        <x:f>'02_Loan_Portfolio'!E39</x:f>
        <x:v>B</x:v>
      </x:c>
      <x:c r="C41" t="n">
        <x:f>'02_Loan_Portfolio'!L39</x:f>
        <x:v>0</x:v>
      </x:c>
      <x:c r="D41" t="n">
        <x:f>'02_Loan_Portfolio'!J39</x:f>
        <x:v>2.247</x:v>
      </x:c>
      <x:c r="E41" t="n">
        <x:f>'02_Loan_Portfolio'!K39</x:f>
        <x:v>2.458</x:v>
      </x:c>
      <x:c r="F41" t="str">
        <x:f>IF(OR(C41&gt;=30,D41&lt;1.1,E41&gt;5),"Red",IF(OR(C41&gt;0,D41&lt;1.3,E41&gt;4),"Amber","Green"))</x:f>
        <x:v>Green</x:v>
      </x:c>
      <x:c r="G41" t="str">
        <x:f>IF(C41&gt;=30,"DPD deterioration",IF(D41&lt;1.1,"DSCR weakness",IF(E41&gt;5,"High leverage","Normal")))</x:f>
        <x:v>Normal</x:v>
      </x:c>
    </x:row>
    <x:row r="42">
      <x:c r="A42" t="str">
        <x:f>'02_Loan_Portfolio'!A40</x:f>
        <x:v>LN00039</x:v>
      </x:c>
      <x:c r="B42" t="str">
        <x:f>'02_Loan_Portfolio'!E40</x:f>
        <x:v>BB</x:v>
      </x:c>
      <x:c r="C42" t="n">
        <x:f>'02_Loan_Portfolio'!L40</x:f>
        <x:v>0</x:v>
      </x:c>
      <x:c r="D42" t="n">
        <x:f>'02_Loan_Portfolio'!J40</x:f>
        <x:v>2.03</x:v>
      </x:c>
      <x:c r="E42" t="n">
        <x:f>'02_Loan_Portfolio'!K40</x:f>
        <x:v>1.922</x:v>
      </x:c>
      <x:c r="F42" t="str">
        <x:f>IF(OR(C42&gt;=30,D42&lt;1.1,E42&gt;5),"Red",IF(OR(C42&gt;0,D42&lt;1.3,E42&gt;4),"Amber","Green"))</x:f>
        <x:v>Green</x:v>
      </x:c>
      <x:c r="G42" t="str">
        <x:f>IF(C42&gt;=30,"DPD deterioration",IF(D42&lt;1.1,"DSCR weakness",IF(E42&gt;5,"High leverage","Normal")))</x:f>
        <x:v>Normal</x:v>
      </x:c>
    </x:row>
    <x:row r="43">
      <x:c r="A43" t="str">
        <x:f>'02_Loan_Portfolio'!A41</x:f>
        <x:v>LN00040</x:v>
      </x:c>
      <x:c r="B43" t="str">
        <x:f>'02_Loan_Portfolio'!E41</x:f>
        <x:v>A</x:v>
      </x:c>
      <x:c r="C43" t="n">
        <x:f>'02_Loan_Portfolio'!L41</x:f>
        <x:v>0</x:v>
      </x:c>
      <x:c r="D43" t="n">
        <x:f>'02_Loan_Portfolio'!J41</x:f>
        <x:v>2.631</x:v>
      </x:c>
      <x:c r="E43" t="n">
        <x:f>'02_Loan_Portfolio'!K41</x:f>
        <x:v>2.031</x:v>
      </x:c>
      <x:c r="F43" t="str">
        <x:f>IF(OR(C43&gt;=30,D43&lt;1.1,E43&gt;5),"Red",IF(OR(C43&gt;0,D43&lt;1.3,E43&gt;4),"Amber","Green"))</x:f>
        <x:v>Green</x:v>
      </x:c>
      <x:c r="G43" t="str">
        <x:f>IF(C43&gt;=30,"DPD deterioration",IF(D43&lt;1.1,"DSCR weakness",IF(E43&gt;5,"High leverage","Normal")))</x:f>
        <x:v>Normal</x:v>
      </x:c>
    </x:row>
    <x:row r="44">
      <x:c r="A44" t="str">
        <x:f>'02_Loan_Portfolio'!A42</x:f>
        <x:v>LN00041</x:v>
      </x:c>
      <x:c r="B44" t="str">
        <x:f>'02_Loan_Portfolio'!E42</x:f>
        <x:v>B</x:v>
      </x:c>
      <x:c r="C44" t="n">
        <x:f>'02_Loan_Portfolio'!L42</x:f>
        <x:v>0</x:v>
      </x:c>
      <x:c r="D44" t="n">
        <x:f>'02_Loan_Portfolio'!J42</x:f>
        <x:v>2.35</x:v>
      </x:c>
      <x:c r="E44" t="n">
        <x:f>'02_Loan_Portfolio'!K42</x:f>
        <x:v>2.465</x:v>
      </x:c>
      <x:c r="F44" t="str">
        <x:f>IF(OR(C44&gt;=30,D44&lt;1.1,E44&gt;5),"Red",IF(OR(C44&gt;0,D44&lt;1.3,E44&gt;4),"Amber","Green"))</x:f>
        <x:v>Green</x:v>
      </x:c>
      <x:c r="G44" t="str">
        <x:f>IF(C44&gt;=30,"DPD deterioration",IF(D44&lt;1.1,"DSCR weakness",IF(E44&gt;5,"High leverage","Normal")))</x:f>
        <x:v>Normal</x:v>
      </x:c>
    </x:row>
    <x:row r="45">
      <x:c r="A45" t="str">
        <x:f>'02_Loan_Portfolio'!A43</x:f>
        <x:v>LN00042</x:v>
      </x:c>
      <x:c r="B45" t="str">
        <x:f>'02_Loan_Portfolio'!E43</x:f>
        <x:v>BB</x:v>
      </x:c>
      <x:c r="C45" t="n">
        <x:f>'02_Loan_Portfolio'!L43</x:f>
        <x:v>15</x:v>
      </x:c>
      <x:c r="D45" t="n">
        <x:f>'02_Loan_Portfolio'!J43</x:f>
        <x:v>1.843</x:v>
      </x:c>
      <x:c r="E45" t="n">
        <x:f>'02_Loan_Portfolio'!K43</x:f>
        <x:v>1.058</x:v>
      </x:c>
      <x:c r="F45" t="str">
        <x:f>IF(OR(C45&gt;=30,D45&lt;1.1,E45&gt;5),"Red",IF(OR(C45&gt;0,D45&lt;1.3,E45&gt;4),"Amber","Green"))</x:f>
        <x:v>Amber</x:v>
      </x:c>
      <x:c r="G45" t="str">
        <x:f>IF(C45&gt;=30,"DPD deterioration",IF(D45&lt;1.1,"DSCR weakness",IF(E45&gt;5,"High leverage","Normal")))</x:f>
        <x:v>Normal</x:v>
      </x:c>
    </x:row>
    <x:row r="46">
      <x:c r="A46" t="str">
        <x:f>'02_Loan_Portfolio'!A44</x:f>
        <x:v>LN00043</x:v>
      </x:c>
      <x:c r="B46" t="str">
        <x:f>'02_Loan_Portfolio'!E44</x:f>
        <x:v>BB</x:v>
      </x:c>
      <x:c r="C46" t="n">
        <x:f>'02_Loan_Portfolio'!L44</x:f>
        <x:v>0</x:v>
      </x:c>
      <x:c r="D46" t="n">
        <x:f>'02_Loan_Portfolio'!J44</x:f>
        <x:v>1.307</x:v>
      </x:c>
      <x:c r="E46" t="n">
        <x:f>'02_Loan_Portfolio'!K44</x:f>
        <x:v>2.875</x:v>
      </x:c>
      <x:c r="F46" t="str">
        <x:f>IF(OR(C46&gt;=30,D46&lt;1.1,E46&gt;5),"Red",IF(OR(C46&gt;0,D46&lt;1.3,E46&gt;4),"Amber","Green"))</x:f>
        <x:v>Green</x:v>
      </x:c>
      <x:c r="G46" t="str">
        <x:f>IF(C46&gt;=30,"DPD deterioration",IF(D46&lt;1.1,"DSCR weakness",IF(E46&gt;5,"High leverage","Normal")))</x:f>
        <x:v>Normal</x:v>
      </x:c>
    </x:row>
    <x:row r="47">
      <x:c r="A47" t="str">
        <x:f>'02_Loan_Portfolio'!A45</x:f>
        <x:v>LN00044</x:v>
      </x:c>
      <x:c r="B47" t="str">
        <x:f>'02_Loan_Portfolio'!E45</x:f>
        <x:v>A</x:v>
      </x:c>
      <x:c r="C47" t="n">
        <x:f>'02_Loan_Portfolio'!L45</x:f>
        <x:v>0</x:v>
      </x:c>
      <x:c r="D47" t="n">
        <x:f>'02_Loan_Portfolio'!J45</x:f>
        <x:v>2.832</x:v>
      </x:c>
      <x:c r="E47" t="n">
        <x:f>'02_Loan_Portfolio'!K45</x:f>
        <x:v>2.877</x:v>
      </x:c>
      <x:c r="F47" t="str">
        <x:f>IF(OR(C47&gt;=30,D47&lt;1.1,E47&gt;5),"Red",IF(OR(C47&gt;0,D47&lt;1.3,E47&gt;4),"Amber","Green"))</x:f>
        <x:v>Green</x:v>
      </x:c>
      <x:c r="G47" t="str">
        <x:f>IF(C47&gt;=30,"DPD deterioration",IF(D47&lt;1.1,"DSCR weakness",IF(E47&gt;5,"High leverage","Normal")))</x:f>
        <x:v>Normal</x:v>
      </x:c>
    </x:row>
    <x:row r="48">
      <x:c r="A48" t="str">
        <x:f>'02_Loan_Portfolio'!A46</x:f>
        <x:v>LN00045</x:v>
      </x:c>
      <x:c r="B48" t="str">
        <x:f>'02_Loan_Portfolio'!E46</x:f>
        <x:v>BB</x:v>
      </x:c>
      <x:c r="C48" t="n">
        <x:f>'02_Loan_Portfolio'!L46</x:f>
        <x:v>0</x:v>
      </x:c>
      <x:c r="D48" t="n">
        <x:f>'02_Loan_Portfolio'!J46</x:f>
        <x:v>1.522</x:v>
      </x:c>
      <x:c r="E48" t="n">
        <x:f>'02_Loan_Portfolio'!K46</x:f>
        <x:v>2.368</x:v>
      </x:c>
      <x:c r="F48" t="str">
        <x:f>IF(OR(C48&gt;=30,D48&lt;1.1,E48&gt;5),"Red",IF(OR(C48&gt;0,D48&lt;1.3,E48&gt;4),"Amber","Green"))</x:f>
        <x:v>Green</x:v>
      </x:c>
      <x:c r="G48" t="str">
        <x:f>IF(C48&gt;=30,"DPD deterioration",IF(D48&lt;1.1,"DSCR weakness",IF(E48&gt;5,"High leverage","Normal")))</x:f>
        <x:v>Normal</x:v>
      </x:c>
    </x:row>
    <x:row r="49">
      <x:c r="A49" t="str">
        <x:f>'02_Loan_Portfolio'!A47</x:f>
        <x:v>LN00046</x:v>
      </x:c>
      <x:c r="B49" t="str">
        <x:f>'02_Loan_Portfolio'!E47</x:f>
        <x:v>BB</x:v>
      </x:c>
      <x:c r="C49" t="n">
        <x:f>'02_Loan_Portfolio'!L47</x:f>
        <x:v>0</x:v>
      </x:c>
      <x:c r="D49" t="n">
        <x:f>'02_Loan_Portfolio'!J47</x:f>
        <x:v>1.808</x:v>
      </x:c>
      <x:c r="E49" t="n">
        <x:f>'02_Loan_Portfolio'!K47</x:f>
        <x:v>4.989</x:v>
      </x:c>
      <x:c r="F49" t="str">
        <x:f>IF(OR(C49&gt;=30,D49&lt;1.1,E49&gt;5),"Red",IF(OR(C49&gt;0,D49&lt;1.3,E49&gt;4),"Amber","Green"))</x:f>
        <x:v>Amber</x:v>
      </x:c>
      <x:c r="G49" t="str">
        <x:f>IF(C49&gt;=30,"DPD deterioration",IF(D49&lt;1.1,"DSCR weakness",IF(E49&gt;5,"High leverage","Normal")))</x:f>
        <x:v>Normal</x:v>
      </x:c>
    </x:row>
    <x:row r="50">
      <x:c r="A50" t="str">
        <x:f>'02_Loan_Portfolio'!A48</x:f>
        <x:v>LN00047</x:v>
      </x:c>
      <x:c r="B50" t="str">
        <x:f>'02_Loan_Portfolio'!E48</x:f>
        <x:v>B</x:v>
      </x:c>
      <x:c r="C50" t="n">
        <x:f>'02_Loan_Portfolio'!L48</x:f>
        <x:v>0</x:v>
      </x:c>
      <x:c r="D50" t="n">
        <x:f>'02_Loan_Portfolio'!J48</x:f>
        <x:v>0.467</x:v>
      </x:c>
      <x:c r="E50" t="n">
        <x:f>'02_Loan_Portfolio'!K48</x:f>
        <x:v>3.453</x:v>
      </x:c>
      <x:c r="F50" t="str">
        <x:f>IF(OR(C50&gt;=30,D50&lt;1.1,E50&gt;5),"Red",IF(OR(C50&gt;0,D50&lt;1.3,E50&gt;4),"Amber","Green"))</x:f>
        <x:v>Red</x:v>
      </x:c>
      <x:c r="G50" t="str">
        <x:f>IF(C50&gt;=30,"DPD deterioration",IF(D50&lt;1.1,"DSCR weakness",IF(E50&gt;5,"High leverage","Normal")))</x:f>
        <x:v>DSCR weakness</x:v>
      </x:c>
    </x:row>
    <x:row r="51">
      <x:c r="A51" t="str">
        <x:f>'02_Loan_Portfolio'!A49</x:f>
        <x:v>LN00048</x:v>
      </x:c>
      <x:c r="B51" t="str">
        <x:f>'02_Loan_Portfolio'!E49</x:f>
        <x:v>BB</x:v>
      </x:c>
      <x:c r="C51" t="n">
        <x:f>'02_Loan_Portfolio'!L49</x:f>
        <x:v>15</x:v>
      </x:c>
      <x:c r="D51" t="n">
        <x:f>'02_Loan_Portfolio'!J49</x:f>
        <x:v>1.934</x:v>
      </x:c>
      <x:c r="E51" t="n">
        <x:f>'02_Loan_Portfolio'!K49</x:f>
        <x:v>2.785</x:v>
      </x:c>
      <x:c r="F51" t="str">
        <x:f>IF(OR(C51&gt;=30,D51&lt;1.1,E51&gt;5),"Red",IF(OR(C51&gt;0,D51&lt;1.3,E51&gt;4),"Amber","Green"))</x:f>
        <x:v>Amber</x:v>
      </x:c>
      <x:c r="G51" t="str">
        <x:f>IF(C51&gt;=30,"DPD deterioration",IF(D51&lt;1.1,"DSCR weakness",IF(E51&gt;5,"High leverage","Normal")))</x:f>
        <x:v>Normal</x:v>
      </x:c>
    </x:row>
    <x:row r="52">
      <x:c r="A52" t="str">
        <x:f>'02_Loan_Portfolio'!A50</x:f>
        <x:v>LN00049</x:v>
      </x:c>
      <x:c r="B52" t="str">
        <x:f>'02_Loan_Portfolio'!E50</x:f>
        <x:v>A</x:v>
      </x:c>
      <x:c r="C52" t="n">
        <x:f>'02_Loan_Portfolio'!L50</x:f>
        <x:v>5</x:v>
      </x:c>
      <x:c r="D52" t="n">
        <x:f>'02_Loan_Portfolio'!J50</x:f>
        <x:v>2.207</x:v>
      </x:c>
      <x:c r="E52" t="n">
        <x:f>'02_Loan_Portfolio'!K50</x:f>
        <x:v>3.188</x:v>
      </x:c>
      <x:c r="F52" t="str">
        <x:f>IF(OR(C52&gt;=30,D52&lt;1.1,E52&gt;5),"Red",IF(OR(C52&gt;0,D52&lt;1.3,E52&gt;4),"Amber","Green"))</x:f>
        <x:v>Amber</x:v>
      </x:c>
      <x:c r="G52" t="str">
        <x:f>IF(C52&gt;=30,"DPD deterioration",IF(D52&lt;1.1,"DSCR weakness",IF(E52&gt;5,"High leverage","Normal")))</x:f>
        <x:v>Normal</x:v>
      </x:c>
    </x:row>
    <x:row r="53">
      <x:c r="A53" t="str">
        <x:f>'02_Loan_Portfolio'!A51</x:f>
        <x:v>LN00050</x:v>
      </x:c>
      <x:c r="B53" t="str">
        <x:f>'02_Loan_Portfolio'!E51</x:f>
        <x:v>BBB</x:v>
      </x:c>
      <x:c r="C53" t="n">
        <x:f>'02_Loan_Portfolio'!L51</x:f>
        <x:v>0</x:v>
      </x:c>
      <x:c r="D53" t="n">
        <x:f>'02_Loan_Portfolio'!J51</x:f>
        <x:v>2.191</x:v>
      </x:c>
      <x:c r="E53" t="n">
        <x:f>'02_Loan_Portfolio'!K51</x:f>
        <x:v>3.363</x:v>
      </x:c>
      <x:c r="F53" t="str">
        <x:f>IF(OR(C53&gt;=30,D53&lt;1.1,E53&gt;5),"Red",IF(OR(C53&gt;0,D53&lt;1.3,E53&gt;4),"Amber","Green"))</x:f>
        <x:v>Green</x:v>
      </x:c>
      <x:c r="G53" t="str">
        <x:f>IF(C53&gt;=30,"DPD deterioration",IF(D53&lt;1.1,"DSCR weakness",IF(E53&gt;5,"High leverage","Normal")))</x:f>
        <x:v>Normal</x:v>
      </x:c>
    </x:row>
    <x:row r="54">
      <x:c r="A54" t="str">
        <x:f>'02_Loan_Portfolio'!A52</x:f>
        <x:v>LN00051</x:v>
      </x:c>
      <x:c r="B54" t="str">
        <x:f>'02_Loan_Portfolio'!E52</x:f>
        <x:v>AA</x:v>
      </x:c>
      <x:c r="C54" t="n">
        <x:f>'02_Loan_Portfolio'!L52</x:f>
        <x:v>0</x:v>
      </x:c>
      <x:c r="D54" t="n">
        <x:f>'02_Loan_Portfolio'!J52</x:f>
        <x:v>2.463</x:v>
      </x:c>
      <x:c r="E54" t="n">
        <x:f>'02_Loan_Portfolio'!K52</x:f>
        <x:v>2.121</x:v>
      </x:c>
      <x:c r="F54" t="str">
        <x:f>IF(OR(C54&gt;=30,D54&lt;1.1,E54&gt;5),"Red",IF(OR(C54&gt;0,D54&lt;1.3,E54&gt;4),"Amber","Green"))</x:f>
        <x:v>Green</x:v>
      </x:c>
      <x:c r="G54" t="str">
        <x:f>IF(C54&gt;=30,"DPD deterioration",IF(D54&lt;1.1,"DSCR weakness",IF(E54&gt;5,"High leverage","Normal")))</x:f>
        <x:v>Normal</x:v>
      </x:c>
    </x:row>
    <x:row r="55">
      <x:c r="A55" t="str">
        <x:f>'02_Loan_Portfolio'!A53</x:f>
        <x:v>LN00052</x:v>
      </x:c>
      <x:c r="B55" t="str">
        <x:f>'02_Loan_Portfolio'!E53</x:f>
        <x:v>BB</x:v>
      </x:c>
      <x:c r="C55" t="n">
        <x:f>'02_Loan_Portfolio'!L53</x:f>
        <x:v>35</x:v>
      </x:c>
      <x:c r="D55" t="n">
        <x:f>'02_Loan_Portfolio'!J53</x:f>
        <x:v>2.157</x:v>
      </x:c>
      <x:c r="E55" t="n">
        <x:f>'02_Loan_Portfolio'!K53</x:f>
        <x:v>3.761</x:v>
      </x:c>
      <x:c r="F55" t="str">
        <x:f>IF(OR(C55&gt;=30,D55&lt;1.1,E55&gt;5),"Red",IF(OR(C55&gt;0,D55&lt;1.3,E55&gt;4),"Amber","Green"))</x:f>
        <x:v>Red</x:v>
      </x:c>
      <x:c r="G55" t="str">
        <x:f>IF(C55&gt;=30,"DPD deterioration",IF(D55&lt;1.1,"DSCR weakness",IF(E55&gt;5,"High leverage","Normal")))</x:f>
        <x:v>DPD deterioration</x:v>
      </x:c>
    </x:row>
    <x:row r="56">
      <x:c r="A56" t="str">
        <x:f>'02_Loan_Portfolio'!A54</x:f>
        <x:v>LN00053</x:v>
      </x:c>
      <x:c r="B56" t="str">
        <x:f>'02_Loan_Portfolio'!E54</x:f>
        <x:v>BBB</x:v>
      </x:c>
      <x:c r="C56" t="n">
        <x:f>'02_Loan_Portfolio'!L54</x:f>
        <x:v>0</x:v>
      </x:c>
      <x:c r="D56" t="n">
        <x:f>'02_Loan_Portfolio'!J54</x:f>
        <x:v>1.43</x:v>
      </x:c>
      <x:c r="E56" t="n">
        <x:f>'02_Loan_Portfolio'!K54</x:f>
        <x:v>0.2</x:v>
      </x:c>
      <x:c r="F56" t="str">
        <x:f>IF(OR(C56&gt;=30,D56&lt;1.1,E56&gt;5),"Red",IF(OR(C56&gt;0,D56&lt;1.3,E56&gt;4),"Amber","Green"))</x:f>
        <x:v>Green</x:v>
      </x:c>
      <x:c r="G56" t="str">
        <x:f>IF(C56&gt;=30,"DPD deterioration",IF(D56&lt;1.1,"DSCR weakness",IF(E56&gt;5,"High leverage","Normal")))</x:f>
        <x:v>Normal</x:v>
      </x:c>
    </x:row>
    <x:row r="57">
      <x:c r="A57" t="str">
        <x:f>'02_Loan_Portfolio'!A55</x:f>
        <x:v>LN00054</x:v>
      </x:c>
      <x:c r="B57" t="str">
        <x:f>'02_Loan_Portfolio'!E55</x:f>
        <x:v>A</x:v>
      </x:c>
      <x:c r="C57" t="n">
        <x:f>'02_Loan_Portfolio'!L55</x:f>
        <x:v>0</x:v>
      </x:c>
      <x:c r="D57" t="n">
        <x:f>'02_Loan_Portfolio'!J55</x:f>
        <x:v>1.947</x:v>
      </x:c>
      <x:c r="E57" t="n">
        <x:f>'02_Loan_Portfolio'!K55</x:f>
        <x:v>2.623</x:v>
      </x:c>
      <x:c r="F57" t="str">
        <x:f>IF(OR(C57&gt;=30,D57&lt;1.1,E57&gt;5),"Red",IF(OR(C57&gt;0,D57&lt;1.3,E57&gt;4),"Amber","Green"))</x:f>
        <x:v>Green</x:v>
      </x:c>
      <x:c r="G57" t="str">
        <x:f>IF(C57&gt;=30,"DPD deterioration",IF(D57&lt;1.1,"DSCR weakness",IF(E57&gt;5,"High leverage","Normal")))</x:f>
        <x:v>Normal</x:v>
      </x:c>
    </x:row>
    <x:row r="58">
      <x:c r="A58" t="str">
        <x:f>'02_Loan_Portfolio'!A56</x:f>
        <x:v>LN00055</x:v>
      </x:c>
      <x:c r="B58" t="str">
        <x:f>'02_Loan_Portfolio'!E56</x:f>
        <x:v>B</x:v>
      </x:c>
      <x:c r="C58" t="n">
        <x:f>'02_Loan_Portfolio'!L56</x:f>
        <x:v>0</x:v>
      </x:c>
      <x:c r="D58" t="n">
        <x:f>'02_Loan_Portfolio'!J56</x:f>
        <x:v>1.491</x:v>
      </x:c>
      <x:c r="E58" t="n">
        <x:f>'02_Loan_Portfolio'!K56</x:f>
        <x:v>5.231</x:v>
      </x:c>
      <x:c r="F58" t="str">
        <x:f>IF(OR(C58&gt;=30,D58&lt;1.1,E58&gt;5),"Red",IF(OR(C58&gt;0,D58&lt;1.3,E58&gt;4),"Amber","Green"))</x:f>
        <x:v>Red</x:v>
      </x:c>
      <x:c r="G58" t="str">
        <x:f>IF(C58&gt;=30,"DPD deterioration",IF(D58&lt;1.1,"DSCR weakness",IF(E58&gt;5,"High leverage","Normal")))</x:f>
        <x:v>High leverage</x:v>
      </x:c>
    </x:row>
    <x:row r="59">
      <x:c r="A59" t="str">
        <x:f>'02_Loan_Portfolio'!A57</x:f>
        <x:v>LN00056</x:v>
      </x:c>
      <x:c r="B59" t="str">
        <x:f>'02_Loan_Portfolio'!E57</x:f>
        <x:v>BB</x:v>
      </x:c>
      <x:c r="C59" t="n">
        <x:f>'02_Loan_Portfolio'!L57</x:f>
        <x:v>0</x:v>
      </x:c>
      <x:c r="D59" t="n">
        <x:f>'02_Loan_Portfolio'!J57</x:f>
        <x:v>1.202</x:v>
      </x:c>
      <x:c r="E59" t="n">
        <x:f>'02_Loan_Portfolio'!K57</x:f>
        <x:v>3.731</x:v>
      </x:c>
      <x:c r="F59" t="str">
        <x:f>IF(OR(C59&gt;=30,D59&lt;1.1,E59&gt;5),"Red",IF(OR(C59&gt;0,D59&lt;1.3,E59&gt;4),"Amber","Green"))</x:f>
        <x:v>Amber</x:v>
      </x:c>
      <x:c r="G59" t="str">
        <x:f>IF(C59&gt;=30,"DPD deterioration",IF(D59&lt;1.1,"DSCR weakness",IF(E59&gt;5,"High leverage","Normal")))</x:f>
        <x:v>Normal</x:v>
      </x:c>
    </x:row>
    <x:row r="60">
      <x:c r="A60" t="str">
        <x:f>'02_Loan_Portfolio'!A58</x:f>
        <x:v>LN00057</x:v>
      </x:c>
      <x:c r="B60" t="str">
        <x:f>'02_Loan_Portfolio'!E58</x:f>
        <x:v>BBB</x:v>
      </x:c>
      <x:c r="C60" t="n">
        <x:f>'02_Loan_Portfolio'!L58</x:f>
        <x:v>0</x:v>
      </x:c>
      <x:c r="D60" t="n">
        <x:f>'02_Loan_Portfolio'!J58</x:f>
        <x:v>1.297</x:v>
      </x:c>
      <x:c r="E60" t="n">
        <x:f>'02_Loan_Portfolio'!K58</x:f>
        <x:v>1.86</x:v>
      </x:c>
      <x:c r="F60" t="str">
        <x:f>IF(OR(C60&gt;=30,D60&lt;1.1,E60&gt;5),"Red",IF(OR(C60&gt;0,D60&lt;1.3,E60&gt;4),"Amber","Green"))</x:f>
        <x:v>Amber</x:v>
      </x:c>
      <x:c r="G60" t="str">
        <x:f>IF(C60&gt;=30,"DPD deterioration",IF(D60&lt;1.1,"DSCR weakness",IF(E60&gt;5,"High leverage","Normal")))</x:f>
        <x:v>Normal</x:v>
      </x:c>
    </x:row>
    <x:row r="61">
      <x:c r="A61" t="str">
        <x:f>'02_Loan_Portfolio'!A59</x:f>
        <x:v>LN00058</x:v>
      </x:c>
      <x:c r="B61" t="str">
        <x:f>'02_Loan_Portfolio'!E59</x:f>
        <x:v>B</x:v>
      </x:c>
      <x:c r="C61" t="n">
        <x:f>'02_Loan_Portfolio'!L59</x:f>
        <x:v>95</x:v>
      </x:c>
      <x:c r="D61" t="n">
        <x:f>'02_Loan_Portfolio'!J59</x:f>
        <x:v>1.123</x:v>
      </x:c>
      <x:c r="E61" t="n">
        <x:f>'02_Loan_Portfolio'!K59</x:f>
        <x:v>4.294</x:v>
      </x:c>
      <x:c r="F61" t="str">
        <x:f>IF(OR(C61&gt;=30,D61&lt;1.1,E61&gt;5),"Red",IF(OR(C61&gt;0,D61&lt;1.3,E61&gt;4),"Amber","Green"))</x:f>
        <x:v>Red</x:v>
      </x:c>
      <x:c r="G61" t="str">
        <x:f>IF(C61&gt;=30,"DPD deterioration",IF(D61&lt;1.1,"DSCR weakness",IF(E61&gt;5,"High leverage","Normal")))</x:f>
        <x:v>DPD deterioration</x:v>
      </x:c>
    </x:row>
    <x:row r="62">
      <x:c r="A62" t="str">
        <x:f>'02_Loan_Portfolio'!A60</x:f>
        <x:v>LN00059</x:v>
      </x:c>
      <x:c r="B62" t="str">
        <x:f>'02_Loan_Portfolio'!E60</x:f>
        <x:v>A</x:v>
      </x:c>
      <x:c r="C62" t="n">
        <x:f>'02_Loan_Portfolio'!L60</x:f>
        <x:v>5</x:v>
      </x:c>
      <x:c r="D62" t="n">
        <x:f>'02_Loan_Portfolio'!J60</x:f>
        <x:v>0.978</x:v>
      </x:c>
      <x:c r="E62" t="n">
        <x:f>'02_Loan_Portfolio'!K60</x:f>
        <x:v>1.458</x:v>
      </x:c>
      <x:c r="F62" t="str">
        <x:f>IF(OR(C62&gt;=30,D62&lt;1.1,E62&gt;5),"Red",IF(OR(C62&gt;0,D62&lt;1.3,E62&gt;4),"Amber","Green"))</x:f>
        <x:v>Red</x:v>
      </x:c>
      <x:c r="G62" t="str">
        <x:f>IF(C62&gt;=30,"DPD deterioration",IF(D62&lt;1.1,"DSCR weakness",IF(E62&gt;5,"High leverage","Normal")))</x:f>
        <x:v>DSCR weakness</x:v>
      </x:c>
    </x:row>
    <x:row r="63">
      <x:c r="A63" t="str">
        <x:f>'02_Loan_Portfolio'!A61</x:f>
        <x:v>LN00060</x:v>
      </x:c>
      <x:c r="B63" t="str">
        <x:f>'02_Loan_Portfolio'!E61</x:f>
        <x:v>CCC</x:v>
      </x:c>
      <x:c r="C63" t="n">
        <x:f>'02_Loan_Portfolio'!L61</x:f>
        <x:v>0</x:v>
      </x:c>
      <x:c r="D63" t="n">
        <x:f>'02_Loan_Portfolio'!J61</x:f>
        <x:v>2.74</x:v>
      </x:c>
      <x:c r="E63" t="n">
        <x:f>'02_Loan_Portfolio'!K61</x:f>
        <x:v>3.912</x:v>
      </x:c>
      <x:c r="F63" t="str">
        <x:f>IF(OR(C63&gt;=30,D63&lt;1.1,E63&gt;5),"Red",IF(OR(C63&gt;0,D63&lt;1.3,E63&gt;4),"Amber","Green"))</x:f>
        <x:v>Green</x:v>
      </x:c>
      <x:c r="G63" t="str">
        <x:f>IF(C63&gt;=30,"DPD deterioration",IF(D63&lt;1.1,"DSCR weakness",IF(E63&gt;5,"High leverage","Normal")))</x:f>
        <x:v>Normal</x:v>
      </x:c>
    </x:row>
    <x:row r="64">
      <x:c r="A64" t="str">
        <x:f>'02_Loan_Portfolio'!A62</x:f>
        <x:v>LN00061</x:v>
      </x:c>
      <x:c r="B64" t="str">
        <x:f>'02_Loan_Portfolio'!E62</x:f>
        <x:v>A</x:v>
      </x:c>
      <x:c r="C64" t="n">
        <x:f>'02_Loan_Portfolio'!L62</x:f>
        <x:v>15</x:v>
      </x:c>
      <x:c r="D64" t="n">
        <x:f>'02_Loan_Portfolio'!J62</x:f>
        <x:v>1.641</x:v>
      </x:c>
      <x:c r="E64" t="n">
        <x:f>'02_Loan_Portfolio'!K62</x:f>
        <x:v>2.16</x:v>
      </x:c>
      <x:c r="F64" t="str">
        <x:f>IF(OR(C64&gt;=30,D64&lt;1.1,E64&gt;5),"Red",IF(OR(C64&gt;0,D64&lt;1.3,E64&gt;4),"Amber","Green"))</x:f>
        <x:v>Amber</x:v>
      </x:c>
      <x:c r="G64" t="str">
        <x:f>IF(C64&gt;=30,"DPD deterioration",IF(D64&lt;1.1,"DSCR weakness",IF(E64&gt;5,"High leverage","Normal")))</x:f>
        <x:v>Normal</x:v>
      </x:c>
    </x:row>
    <x:row r="65">
      <x:c r="A65" t="str">
        <x:f>'02_Loan_Portfolio'!A63</x:f>
        <x:v>LN00062</x:v>
      </x:c>
      <x:c r="B65" t="str">
        <x:f>'02_Loan_Portfolio'!E63</x:f>
        <x:v>BBB</x:v>
      </x:c>
      <x:c r="C65" t="n">
        <x:f>'02_Loan_Portfolio'!L63</x:f>
        <x:v>35</x:v>
      </x:c>
      <x:c r="D65" t="n">
        <x:f>'02_Loan_Portfolio'!J63</x:f>
        <x:v>1.577</x:v>
      </x:c>
      <x:c r="E65" t="n">
        <x:f>'02_Loan_Portfolio'!K63</x:f>
        <x:v>1.761</x:v>
      </x:c>
      <x:c r="F65" t="str">
        <x:f>IF(OR(C65&gt;=30,D65&lt;1.1,E65&gt;5),"Red",IF(OR(C65&gt;0,D65&lt;1.3,E65&gt;4),"Amber","Green"))</x:f>
        <x:v>Red</x:v>
      </x:c>
      <x:c r="G65" t="str">
        <x:f>IF(C65&gt;=30,"DPD deterioration",IF(D65&lt;1.1,"DSCR weakness",IF(E65&gt;5,"High leverage","Normal")))</x:f>
        <x:v>DPD deterioration</x:v>
      </x:c>
    </x:row>
    <x:row r="66">
      <x:c r="A66" t="str">
        <x:f>'02_Loan_Portfolio'!A64</x:f>
        <x:v>LN00063</x:v>
      </x:c>
      <x:c r="B66" t="str">
        <x:f>'02_Loan_Portfolio'!E64</x:f>
        <x:v>BBB</x:v>
      </x:c>
      <x:c r="C66" t="n">
        <x:f>'02_Loan_Portfolio'!L64</x:f>
        <x:v>35</x:v>
      </x:c>
      <x:c r="D66" t="n">
        <x:f>'02_Loan_Portfolio'!J64</x:f>
        <x:v>1.463</x:v>
      </x:c>
      <x:c r="E66" t="n">
        <x:f>'02_Loan_Portfolio'!K64</x:f>
        <x:v>3.185</x:v>
      </x:c>
      <x:c r="F66" t="str">
        <x:f>IF(OR(C66&gt;=30,D66&lt;1.1,E66&gt;5),"Red",IF(OR(C66&gt;0,D66&lt;1.3,E66&gt;4),"Amber","Green"))</x:f>
        <x:v>Red</x:v>
      </x:c>
      <x:c r="G66" t="str">
        <x:f>IF(C66&gt;=30,"DPD deterioration",IF(D66&lt;1.1,"DSCR weakness",IF(E66&gt;5,"High leverage","Normal")))</x:f>
        <x:v>DPD deterioration</x:v>
      </x:c>
    </x:row>
    <x:row r="67">
      <x:c r="A67" t="str">
        <x:f>'02_Loan_Portfolio'!A65</x:f>
        <x:v>LN00064</x:v>
      </x:c>
      <x:c r="B67" t="str">
        <x:f>'02_Loan_Portfolio'!E65</x:f>
        <x:v>BBB</x:v>
      </x:c>
      <x:c r="C67" t="n">
        <x:f>'02_Loan_Portfolio'!L65</x:f>
        <x:v>0</x:v>
      </x:c>
      <x:c r="D67" t="n">
        <x:f>'02_Loan_Portfolio'!J65</x:f>
        <x:v>1.674</x:v>
      </x:c>
      <x:c r="E67" t="n">
        <x:f>'02_Loan_Portfolio'!K65</x:f>
        <x:v>2.511</x:v>
      </x:c>
      <x:c r="F67" t="str">
        <x:f>IF(OR(C67&gt;=30,D67&lt;1.1,E67&gt;5),"Red",IF(OR(C67&gt;0,D67&lt;1.3,E67&gt;4),"Amber","Green"))</x:f>
        <x:v>Green</x:v>
      </x:c>
      <x:c r="G67" t="str">
        <x:f>IF(C67&gt;=30,"DPD deterioration",IF(D67&lt;1.1,"DSCR weakness",IF(E67&gt;5,"High leverage","Normal")))</x:f>
        <x:v>Normal</x:v>
      </x:c>
    </x:row>
    <x:row r="68">
      <x:c r="A68" t="str">
        <x:f>'02_Loan_Portfolio'!A66</x:f>
        <x:v>LN00065</x:v>
      </x:c>
      <x:c r="B68" t="str">
        <x:f>'02_Loan_Portfolio'!E66</x:f>
        <x:v>A</x:v>
      </x:c>
      <x:c r="C68" t="n">
        <x:f>'02_Loan_Portfolio'!L66</x:f>
        <x:v>65</x:v>
      </x:c>
      <x:c r="D68" t="n">
        <x:f>'02_Loan_Portfolio'!J66</x:f>
        <x:v>0.705</x:v>
      </x:c>
      <x:c r="E68" t="n">
        <x:f>'02_Loan_Portfolio'!K66</x:f>
        <x:v>2.1</x:v>
      </x:c>
      <x:c r="F68" t="str">
        <x:f>IF(OR(C68&gt;=30,D68&lt;1.1,E68&gt;5),"Red",IF(OR(C68&gt;0,D68&lt;1.3,E68&gt;4),"Amber","Green"))</x:f>
        <x:v>Red</x:v>
      </x:c>
      <x:c r="G68" t="str">
        <x:f>IF(C68&gt;=30,"DPD deterioration",IF(D68&lt;1.1,"DSCR weakness",IF(E68&gt;5,"High leverage","Normal")))</x:f>
        <x:v>DPD deterioration</x:v>
      </x:c>
    </x:row>
    <x:row r="69">
      <x:c r="A69" t="str">
        <x:f>'02_Loan_Portfolio'!A67</x:f>
        <x:v>LN00066</x:v>
      </x:c>
      <x:c r="B69" t="str">
        <x:f>'02_Loan_Portfolio'!E67</x:f>
        <x:v>B</x:v>
      </x:c>
      <x:c r="C69" t="n">
        <x:f>'02_Loan_Portfolio'!L67</x:f>
        <x:v>35</x:v>
      </x:c>
      <x:c r="D69" t="n">
        <x:f>'02_Loan_Portfolio'!J67</x:f>
        <x:v>1.926</x:v>
      </x:c>
      <x:c r="E69" t="n">
        <x:f>'02_Loan_Portfolio'!K67</x:f>
        <x:v>5.278</x:v>
      </x:c>
      <x:c r="F69" t="str">
        <x:f>IF(OR(C69&gt;=30,D69&lt;1.1,E69&gt;5),"Red",IF(OR(C69&gt;0,D69&lt;1.3,E69&gt;4),"Amber","Green"))</x:f>
        <x:v>Red</x:v>
      </x:c>
      <x:c r="G69" t="str">
        <x:f>IF(C69&gt;=30,"DPD deterioration",IF(D69&lt;1.1,"DSCR weakness",IF(E69&gt;5,"High leverage","Normal")))</x:f>
        <x:v>DPD deterioration</x:v>
      </x:c>
    </x:row>
    <x:row r="70">
      <x:c r="A70" t="str">
        <x:f>'02_Loan_Portfolio'!A68</x:f>
        <x:v>LN00067</x:v>
      </x:c>
      <x:c r="B70" t="str">
        <x:f>'02_Loan_Portfolio'!E68</x:f>
        <x:v>BBB</x:v>
      </x:c>
      <x:c r="C70" t="n">
        <x:f>'02_Loan_Portfolio'!L68</x:f>
        <x:v>65</x:v>
      </x:c>
      <x:c r="D70" t="n">
        <x:f>'02_Loan_Portfolio'!J68</x:f>
        <x:v>2.333</x:v>
      </x:c>
      <x:c r="E70" t="n">
        <x:f>'02_Loan_Portfolio'!K68</x:f>
        <x:v>1.749</x:v>
      </x:c>
      <x:c r="F70" t="str">
        <x:f>IF(OR(C70&gt;=30,D70&lt;1.1,E70&gt;5),"Red",IF(OR(C70&gt;0,D70&lt;1.3,E70&gt;4),"Amber","Green"))</x:f>
        <x:v>Red</x:v>
      </x:c>
      <x:c r="G70" t="str">
        <x:f>IF(C70&gt;=30,"DPD deterioration",IF(D70&lt;1.1,"DSCR weakness",IF(E70&gt;5,"High leverage","Normal")))</x:f>
        <x:v>DPD deterioration</x:v>
      </x:c>
    </x:row>
    <x:row r="71">
      <x:c r="A71" t="str">
        <x:f>'02_Loan_Portfolio'!A69</x:f>
        <x:v>LN00068</x:v>
      </x:c>
      <x:c r="B71" t="str">
        <x:f>'02_Loan_Portfolio'!E69</x:f>
        <x:v>B</x:v>
      </x:c>
      <x:c r="C71" t="n">
        <x:f>'02_Loan_Portfolio'!L69</x:f>
        <x:v>0</x:v>
      </x:c>
      <x:c r="D71" t="n">
        <x:f>'02_Loan_Portfolio'!J69</x:f>
        <x:v>3.575</x:v>
      </x:c>
      <x:c r="E71" t="n">
        <x:f>'02_Loan_Portfolio'!K69</x:f>
        <x:v>4.276</x:v>
      </x:c>
      <x:c r="F71" t="str">
        <x:f>IF(OR(C71&gt;=30,D71&lt;1.1,E71&gt;5),"Red",IF(OR(C71&gt;0,D71&lt;1.3,E71&gt;4),"Amber","Green"))</x:f>
        <x:v>Amber</x:v>
      </x:c>
      <x:c r="G71" t="str">
        <x:f>IF(C71&gt;=30,"DPD deterioration",IF(D71&lt;1.1,"DSCR weakness",IF(E71&gt;5,"High leverage","Normal")))</x:f>
        <x:v>Normal</x:v>
      </x:c>
    </x:row>
    <x:row r="72">
      <x:c r="A72" t="str">
        <x:f>'02_Loan_Portfolio'!A70</x:f>
        <x:v>LN00069</x:v>
      </x:c>
      <x:c r="B72" t="str">
        <x:f>'02_Loan_Portfolio'!E70</x:f>
        <x:v>BB</x:v>
      </x:c>
      <x:c r="C72" t="n">
        <x:f>'02_Loan_Portfolio'!L70</x:f>
        <x:v>0</x:v>
      </x:c>
      <x:c r="D72" t="n">
        <x:f>'02_Loan_Portfolio'!J70</x:f>
        <x:v>0.936</x:v>
      </x:c>
      <x:c r="E72" t="n">
        <x:f>'02_Loan_Portfolio'!K70</x:f>
        <x:v>2.802</x:v>
      </x:c>
      <x:c r="F72" t="str">
        <x:f>IF(OR(C72&gt;=30,D72&lt;1.1,E72&gt;5),"Red",IF(OR(C72&gt;0,D72&lt;1.3,E72&gt;4),"Amber","Green"))</x:f>
        <x:v>Red</x:v>
      </x:c>
      <x:c r="G72" t="str">
        <x:f>IF(C72&gt;=30,"DPD deterioration",IF(D72&lt;1.1,"DSCR weakness",IF(E72&gt;5,"High leverage","Normal")))</x:f>
        <x:v>DSCR weakness</x:v>
      </x:c>
    </x:row>
    <x:row r="73">
      <x:c r="A73" t="str">
        <x:f>'02_Loan_Portfolio'!A71</x:f>
        <x:v>LN00070</x:v>
      </x:c>
      <x:c r="B73" t="str">
        <x:f>'02_Loan_Portfolio'!E71</x:f>
        <x:v>B</x:v>
      </x:c>
      <x:c r="C73" t="n">
        <x:f>'02_Loan_Portfolio'!L71</x:f>
        <x:v>5</x:v>
      </x:c>
      <x:c r="D73" t="n">
        <x:f>'02_Loan_Portfolio'!J71</x:f>
        <x:v>2.773</x:v>
      </x:c>
      <x:c r="E73" t="n">
        <x:f>'02_Loan_Portfolio'!K71</x:f>
        <x:v>2.378</x:v>
      </x:c>
      <x:c r="F73" t="str">
        <x:f>IF(OR(C73&gt;=30,D73&lt;1.1,E73&gt;5),"Red",IF(OR(C73&gt;0,D73&lt;1.3,E73&gt;4),"Amber","Green"))</x:f>
        <x:v>Amber</x:v>
      </x:c>
      <x:c r="G73" t="str">
        <x:f>IF(C73&gt;=30,"DPD deterioration",IF(D73&lt;1.1,"DSCR weakness",IF(E73&gt;5,"High leverage","Normal")))</x:f>
        <x:v>Normal</x:v>
      </x:c>
    </x:row>
    <x:row r="74">
      <x:c r="A74" t="str">
        <x:f>'02_Loan_Portfolio'!A72</x:f>
        <x:v>LN00071</x:v>
      </x:c>
      <x:c r="B74" t="str">
        <x:f>'02_Loan_Portfolio'!E72</x:f>
        <x:v>CCC</x:v>
      </x:c>
      <x:c r="C74" t="n">
        <x:f>'02_Loan_Portfolio'!L72</x:f>
        <x:v>95</x:v>
      </x:c>
      <x:c r="D74" t="n">
        <x:f>'02_Loan_Portfolio'!J72</x:f>
        <x:v>1.43</x:v>
      </x:c>
      <x:c r="E74" t="n">
        <x:f>'02_Loan_Portfolio'!K72</x:f>
        <x:v>3.576</x:v>
      </x:c>
      <x:c r="F74" t="str">
        <x:f>IF(OR(C74&gt;=30,D74&lt;1.1,E74&gt;5),"Red",IF(OR(C74&gt;0,D74&lt;1.3,E74&gt;4),"Amber","Green"))</x:f>
        <x:v>Red</x:v>
      </x:c>
      <x:c r="G74" t="str">
        <x:f>IF(C74&gt;=30,"DPD deterioration",IF(D74&lt;1.1,"DSCR weakness",IF(E74&gt;5,"High leverage","Normal")))</x:f>
        <x:v>DPD deterioration</x:v>
      </x:c>
    </x:row>
    <x:row r="75">
      <x:c r="A75" t="str">
        <x:f>'02_Loan_Portfolio'!A73</x:f>
        <x:v>LN00072</x:v>
      </x:c>
      <x:c r="B75" t="str">
        <x:f>'02_Loan_Portfolio'!E73</x:f>
        <x:v>B</x:v>
      </x:c>
      <x:c r="C75" t="n">
        <x:f>'02_Loan_Portfolio'!L73</x:f>
        <x:v>0</x:v>
      </x:c>
      <x:c r="D75" t="n">
        <x:f>'02_Loan_Portfolio'!J73</x:f>
        <x:v>1.901</x:v>
      </x:c>
      <x:c r="E75" t="n">
        <x:f>'02_Loan_Portfolio'!K73</x:f>
        <x:v>2.2</x:v>
      </x:c>
      <x:c r="F75" t="str">
        <x:f>IF(OR(C75&gt;=30,D75&lt;1.1,E75&gt;5),"Red",IF(OR(C75&gt;0,D75&lt;1.3,E75&gt;4),"Amber","Green"))</x:f>
        <x:v>Green</x:v>
      </x:c>
      <x:c r="G75" t="str">
        <x:f>IF(C75&gt;=30,"DPD deterioration",IF(D75&lt;1.1,"DSCR weakness",IF(E75&gt;5,"High leverage","Normal")))</x:f>
        <x:v>Normal</x:v>
      </x:c>
    </x:row>
    <x:row r="76">
      <x:c r="A76" t="str">
        <x:f>'02_Loan_Portfolio'!A74</x:f>
        <x:v>LN00073</x:v>
      </x:c>
      <x:c r="B76" t="str">
        <x:f>'02_Loan_Portfolio'!E74</x:f>
        <x:v>BBB</x:v>
      </x:c>
      <x:c r="C76" t="n">
        <x:f>'02_Loan_Portfolio'!L74</x:f>
        <x:v>95</x:v>
      </x:c>
      <x:c r="D76" t="n">
        <x:f>'02_Loan_Portfolio'!J74</x:f>
        <x:v>1.745</x:v>
      </x:c>
      <x:c r="E76" t="n">
        <x:f>'02_Loan_Portfolio'!K74</x:f>
        <x:v>3.783</x:v>
      </x:c>
      <x:c r="F76" t="str">
        <x:f>IF(OR(C76&gt;=30,D76&lt;1.1,E76&gt;5),"Red",IF(OR(C76&gt;0,D76&lt;1.3,E76&gt;4),"Amber","Green"))</x:f>
        <x:v>Red</x:v>
      </x:c>
      <x:c r="G76" t="str">
        <x:f>IF(C76&gt;=30,"DPD deterioration",IF(D76&lt;1.1,"DSCR weakness",IF(E76&gt;5,"High leverage","Normal")))</x:f>
        <x:v>DPD deterioration</x:v>
      </x:c>
    </x:row>
    <x:row r="77">
      <x:c r="A77" t="str">
        <x:f>'02_Loan_Portfolio'!A75</x:f>
        <x:v>LN00074</x:v>
      </x:c>
      <x:c r="B77" t="str">
        <x:f>'02_Loan_Portfolio'!E75</x:f>
        <x:v>BBB</x:v>
      </x:c>
      <x:c r="C77" t="n">
        <x:f>'02_Loan_Portfolio'!L75</x:f>
        <x:v>0</x:v>
      </x:c>
      <x:c r="D77" t="n">
        <x:f>'02_Loan_Portfolio'!J75</x:f>
        <x:v>1.664</x:v>
      </x:c>
      <x:c r="E77" t="n">
        <x:f>'02_Loan_Portfolio'!K75</x:f>
        <x:v>3.913</x:v>
      </x:c>
      <x:c r="F77" t="str">
        <x:f>IF(OR(C77&gt;=30,D77&lt;1.1,E77&gt;5),"Red",IF(OR(C77&gt;0,D77&lt;1.3,E77&gt;4),"Amber","Green"))</x:f>
        <x:v>Green</x:v>
      </x:c>
      <x:c r="G77" t="str">
        <x:f>IF(C77&gt;=30,"DPD deterioration",IF(D77&lt;1.1,"DSCR weakness",IF(E77&gt;5,"High leverage","Normal")))</x:f>
        <x:v>Normal</x:v>
      </x:c>
    </x:row>
    <x:row r="78">
      <x:c r="A78" t="str">
        <x:f>'02_Loan_Portfolio'!A76</x:f>
        <x:v>LN00075</x:v>
      </x:c>
      <x:c r="B78" t="str">
        <x:f>'02_Loan_Portfolio'!E76</x:f>
        <x:v>BBB</x:v>
      </x:c>
      <x:c r="C78" t="n">
        <x:f>'02_Loan_Portfolio'!L76</x:f>
        <x:v>0</x:v>
      </x:c>
      <x:c r="D78" t="n">
        <x:f>'02_Loan_Portfolio'!J76</x:f>
        <x:v>0.869</x:v>
      </x:c>
      <x:c r="E78" t="n">
        <x:f>'02_Loan_Portfolio'!K76</x:f>
        <x:v>0.54</x:v>
      </x:c>
      <x:c r="F78" t="str">
        <x:f>IF(OR(C78&gt;=30,D78&lt;1.1,E78&gt;5),"Red",IF(OR(C78&gt;0,D78&lt;1.3,E78&gt;4),"Amber","Green"))</x:f>
        <x:v>Red</x:v>
      </x:c>
      <x:c r="G78" t="str">
        <x:f>IF(C78&gt;=30,"DPD deterioration",IF(D78&lt;1.1,"DSCR weakness",IF(E78&gt;5,"High leverage","Normal")))</x:f>
        <x:v>DSCR weakness</x:v>
      </x:c>
    </x:row>
    <x:row r="79">
      <x:c r="A79" t="str">
        <x:f>'02_Loan_Portfolio'!A77</x:f>
        <x:v>LN00076</x:v>
      </x:c>
      <x:c r="B79" t="str">
        <x:f>'02_Loan_Portfolio'!E77</x:f>
        <x:v>BBB</x:v>
      </x:c>
      <x:c r="C79" t="n">
        <x:f>'02_Loan_Portfolio'!L77</x:f>
        <x:v>5</x:v>
      </x:c>
      <x:c r="D79" t="n">
        <x:f>'02_Loan_Portfolio'!J77</x:f>
        <x:v>2.747</x:v>
      </x:c>
      <x:c r="E79" t="n">
        <x:f>'02_Loan_Portfolio'!K77</x:f>
        <x:v>4.282</x:v>
      </x:c>
      <x:c r="F79" t="str">
        <x:f>IF(OR(C79&gt;=30,D79&lt;1.1,E79&gt;5),"Red",IF(OR(C79&gt;0,D79&lt;1.3,E79&gt;4),"Amber","Green"))</x:f>
        <x:v>Amber</x:v>
      </x:c>
      <x:c r="G79" t="str">
        <x:f>IF(C79&gt;=30,"DPD deterioration",IF(D79&lt;1.1,"DSCR weakness",IF(E79&gt;5,"High leverage","Normal")))</x:f>
        <x:v>Normal</x:v>
      </x:c>
    </x:row>
    <x:row r="80">
      <x:c r="A80" t="str">
        <x:f>'02_Loan_Portfolio'!A78</x:f>
        <x:v>LN00077</x:v>
      </x:c>
      <x:c r="B80" t="str">
        <x:f>'02_Loan_Portfolio'!E78</x:f>
        <x:v>BB</x:v>
      </x:c>
      <x:c r="C80" t="n">
        <x:f>'02_Loan_Portfolio'!L78</x:f>
        <x:v>5</x:v>
      </x:c>
      <x:c r="D80" t="n">
        <x:f>'02_Loan_Portfolio'!J78</x:f>
        <x:v>0.378</x:v>
      </x:c>
      <x:c r="E80" t="n">
        <x:f>'02_Loan_Portfolio'!K78</x:f>
        <x:v>2.148</x:v>
      </x:c>
      <x:c r="F80" t="str">
        <x:f>IF(OR(C80&gt;=30,D80&lt;1.1,E80&gt;5),"Red",IF(OR(C80&gt;0,D80&lt;1.3,E80&gt;4),"Amber","Green"))</x:f>
        <x:v>Red</x:v>
      </x:c>
      <x:c r="G80" t="str">
        <x:f>IF(C80&gt;=30,"DPD deterioration",IF(D80&lt;1.1,"DSCR weakness",IF(E80&gt;5,"High leverage","Normal")))</x:f>
        <x:v>DSCR weakness</x:v>
      </x:c>
    </x:row>
    <x:row r="81">
      <x:c r="A81" t="str">
        <x:f>'02_Loan_Portfolio'!A79</x:f>
        <x:v>LN00078</x:v>
      </x:c>
      <x:c r="B81" t="str">
        <x:f>'02_Loan_Portfolio'!E79</x:f>
        <x:v>A</x:v>
      </x:c>
      <x:c r="C81" t="n">
        <x:f>'02_Loan_Portfolio'!L79</x:f>
        <x:v>65</x:v>
      </x:c>
      <x:c r="D81" t="n">
        <x:f>'02_Loan_Portfolio'!J79</x:f>
        <x:v>2.116</x:v>
      </x:c>
      <x:c r="E81" t="n">
        <x:f>'02_Loan_Portfolio'!K79</x:f>
        <x:v>1.445</x:v>
      </x:c>
      <x:c r="F81" t="str">
        <x:f>IF(OR(C81&gt;=30,D81&lt;1.1,E81&gt;5),"Red",IF(OR(C81&gt;0,D81&lt;1.3,E81&gt;4),"Amber","Green"))</x:f>
        <x:v>Red</x:v>
      </x:c>
      <x:c r="G81" t="str">
        <x:f>IF(C81&gt;=30,"DPD deterioration",IF(D81&lt;1.1,"DSCR weakness",IF(E81&gt;5,"High leverage","Normal")))</x:f>
        <x:v>DPD deterioration</x:v>
      </x:c>
    </x:row>
    <x:row r="82">
      <x:c r="A82" t="str">
        <x:f>'02_Loan_Portfolio'!A80</x:f>
        <x:v>LN00079</x:v>
      </x:c>
      <x:c r="B82" t="str">
        <x:f>'02_Loan_Portfolio'!E80</x:f>
        <x:v>BB</x:v>
      </x:c>
      <x:c r="C82" t="n">
        <x:f>'02_Loan_Portfolio'!L80</x:f>
        <x:v>0</x:v>
      </x:c>
      <x:c r="D82" t="n">
        <x:f>'02_Loan_Portfolio'!J80</x:f>
        <x:v>2.431</x:v>
      </x:c>
      <x:c r="E82" t="n">
        <x:f>'02_Loan_Portfolio'!K80</x:f>
        <x:v>5.285</x:v>
      </x:c>
      <x:c r="F82" t="str">
        <x:f>IF(OR(C82&gt;=30,D82&lt;1.1,E82&gt;5),"Red",IF(OR(C82&gt;0,D82&lt;1.3,E82&gt;4),"Amber","Green"))</x:f>
        <x:v>Red</x:v>
      </x:c>
      <x:c r="G82" t="str">
        <x:f>IF(C82&gt;=30,"DPD deterioration",IF(D82&lt;1.1,"DSCR weakness",IF(E82&gt;5,"High leverage","Normal")))</x:f>
        <x:v>High leverage</x:v>
      </x:c>
    </x:row>
    <x:row r="83">
      <x:c r="A83" t="str">
        <x:f>'02_Loan_Portfolio'!A81</x:f>
        <x:v>LN00080</x:v>
      </x:c>
      <x:c r="B83" t="str">
        <x:f>'02_Loan_Portfolio'!E81</x:f>
        <x:v>BBB</x:v>
      </x:c>
      <x:c r="C83" t="n">
        <x:f>'02_Loan_Portfolio'!L81</x:f>
        <x:v>0</x:v>
      </x:c>
      <x:c r="D83" t="n">
        <x:f>'02_Loan_Portfolio'!J81</x:f>
        <x:v>2.104</x:v>
      </x:c>
      <x:c r="E83" t="n">
        <x:f>'02_Loan_Portfolio'!K81</x:f>
        <x:v>3.466</x:v>
      </x:c>
      <x:c r="F83" t="str">
        <x:f>IF(OR(C83&gt;=30,D83&lt;1.1,E83&gt;5),"Red",IF(OR(C83&gt;0,D83&lt;1.3,E83&gt;4),"Amber","Green"))</x:f>
        <x:v>Green</x:v>
      </x:c>
      <x:c r="G83" t="str">
        <x:f>IF(C83&gt;=30,"DPD deterioration",IF(D83&lt;1.1,"DSCR weakness",IF(E83&gt;5,"High leverage","Normal")))</x:f>
        <x:v>Normal</x:v>
      </x:c>
    </x:row>
    <x:row r="84">
      <x:c r="A84" t="str">
        <x:f>'02_Loan_Portfolio'!A82</x:f>
        <x:v>LN00081</x:v>
      </x:c>
      <x:c r="B84" t="str">
        <x:f>'02_Loan_Portfolio'!E82</x:f>
        <x:v>BBB</x:v>
      </x:c>
      <x:c r="C84" t="n">
        <x:f>'02_Loan_Portfolio'!L82</x:f>
        <x:v>0</x:v>
      </x:c>
      <x:c r="D84" t="n">
        <x:f>'02_Loan_Portfolio'!J82</x:f>
        <x:v>1.228</x:v>
      </x:c>
      <x:c r="E84" t="n">
        <x:f>'02_Loan_Portfolio'!K82</x:f>
        <x:v>2.988</x:v>
      </x:c>
      <x:c r="F84" t="str">
        <x:f>IF(OR(C84&gt;=30,D84&lt;1.1,E84&gt;5),"Red",IF(OR(C84&gt;0,D84&lt;1.3,E84&gt;4),"Amber","Green"))</x:f>
        <x:v>Amber</x:v>
      </x:c>
      <x:c r="G84" t="str">
        <x:f>IF(C84&gt;=30,"DPD deterioration",IF(D84&lt;1.1,"DSCR weakness",IF(E84&gt;5,"High leverage","Normal")))</x:f>
        <x:v>Normal</x:v>
      </x:c>
    </x:row>
    <x:row r="85">
      <x:c r="A85" t="str">
        <x:f>'02_Loan_Portfolio'!A83</x:f>
        <x:v>LN00082</x:v>
      </x:c>
      <x:c r="B85" t="str">
        <x:f>'02_Loan_Portfolio'!E83</x:f>
        <x:v>BBB</x:v>
      </x:c>
      <x:c r="C85" t="n">
        <x:f>'02_Loan_Portfolio'!L83</x:f>
        <x:v>15</x:v>
      </x:c>
      <x:c r="D85" t="n">
        <x:f>'02_Loan_Portfolio'!J83</x:f>
        <x:v>1.174</x:v>
      </x:c>
      <x:c r="E85" t="n">
        <x:f>'02_Loan_Portfolio'!K83</x:f>
        <x:v>4.693</x:v>
      </x:c>
      <x:c r="F85" t="str">
        <x:f>IF(OR(C85&gt;=30,D85&lt;1.1,E85&gt;5),"Red",IF(OR(C85&gt;0,D85&lt;1.3,E85&gt;4),"Amber","Green"))</x:f>
        <x:v>Amber</x:v>
      </x:c>
      <x:c r="G85" t="str">
        <x:f>IF(C85&gt;=30,"DPD deterioration",IF(D85&lt;1.1,"DSCR weakness",IF(E85&gt;5,"High leverage","Normal")))</x:f>
        <x:v>Normal</x:v>
      </x:c>
    </x:row>
    <x:row r="86">
      <x:c r="A86" t="str">
        <x:f>'02_Loan_Portfolio'!A84</x:f>
        <x:v>LN00083</x:v>
      </x:c>
      <x:c r="B86" t="str">
        <x:f>'02_Loan_Portfolio'!E84</x:f>
        <x:v>AAA</x:v>
      </x:c>
      <x:c r="C86" t="n">
        <x:f>'02_Loan_Portfolio'!L84</x:f>
        <x:v>0</x:v>
      </x:c>
      <x:c r="D86" t="n">
        <x:f>'02_Loan_Portfolio'!J84</x:f>
        <x:v>1.246</x:v>
      </x:c>
      <x:c r="E86" t="n">
        <x:f>'02_Loan_Portfolio'!K84</x:f>
        <x:v>3.415</x:v>
      </x:c>
      <x:c r="F86" t="str">
        <x:f>IF(OR(C86&gt;=30,D86&lt;1.1,E86&gt;5),"Red",IF(OR(C86&gt;0,D86&lt;1.3,E86&gt;4),"Amber","Green"))</x:f>
        <x:v>Amber</x:v>
      </x:c>
      <x:c r="G86" t="str">
        <x:f>IF(C86&gt;=30,"DPD deterioration",IF(D86&lt;1.1,"DSCR weakness",IF(E86&gt;5,"High leverage","Normal")))</x:f>
        <x:v>Normal</x:v>
      </x:c>
    </x:row>
    <x:row r="87">
      <x:c r="A87" t="str">
        <x:f>'02_Loan_Portfolio'!A85</x:f>
        <x:v>LN00084</x:v>
      </x:c>
      <x:c r="B87" t="str">
        <x:f>'02_Loan_Portfolio'!E85</x:f>
        <x:v>B</x:v>
      </x:c>
      <x:c r="C87" t="n">
        <x:f>'02_Loan_Portfolio'!L85</x:f>
        <x:v>0</x:v>
      </x:c>
      <x:c r="D87" t="n">
        <x:f>'02_Loan_Portfolio'!J85</x:f>
        <x:v>2.425</x:v>
      </x:c>
      <x:c r="E87" t="n">
        <x:f>'02_Loan_Portfolio'!K85</x:f>
        <x:v>1.516</x:v>
      </x:c>
      <x:c r="F87" t="str">
        <x:f>IF(OR(C87&gt;=30,D87&lt;1.1,E87&gt;5),"Red",IF(OR(C87&gt;0,D87&lt;1.3,E87&gt;4),"Amber","Green"))</x:f>
        <x:v>Green</x:v>
      </x:c>
      <x:c r="G87" t="str">
        <x:f>IF(C87&gt;=30,"DPD deterioration",IF(D87&lt;1.1,"DSCR weakness",IF(E87&gt;5,"High leverage","Normal")))</x:f>
        <x:v>Normal</x:v>
      </x:c>
    </x:row>
    <x:row r="88">
      <x:c r="A88" t="str">
        <x:f>'02_Loan_Portfolio'!A86</x:f>
        <x:v>LN00085</x:v>
      </x:c>
      <x:c r="B88" t="str">
        <x:f>'02_Loan_Portfolio'!E86</x:f>
        <x:v>BBB</x:v>
      </x:c>
      <x:c r="C88" t="n">
        <x:f>'02_Loan_Portfolio'!L86</x:f>
        <x:v>15</x:v>
      </x:c>
      <x:c r="D88" t="n">
        <x:f>'02_Loan_Portfolio'!J86</x:f>
        <x:v>1.242</x:v>
      </x:c>
      <x:c r="E88" t="n">
        <x:f>'02_Loan_Portfolio'!K86</x:f>
        <x:v>2.711</x:v>
      </x:c>
      <x:c r="F88" t="str">
        <x:f>IF(OR(C88&gt;=30,D88&lt;1.1,E88&gt;5),"Red",IF(OR(C88&gt;0,D88&lt;1.3,E88&gt;4),"Amber","Green"))</x:f>
        <x:v>Amber</x:v>
      </x:c>
      <x:c r="G88" t="str">
        <x:f>IF(C88&gt;=30,"DPD deterioration",IF(D88&lt;1.1,"DSCR weakness",IF(E88&gt;5,"High leverage","Normal")))</x:f>
        <x:v>Normal</x:v>
      </x:c>
    </x:row>
    <x:row r="89">
      <x:c r="A89" t="str">
        <x:f>'02_Loan_Portfolio'!A87</x:f>
        <x:v>LN00086</x:v>
      </x:c>
      <x:c r="B89" t="str">
        <x:f>'02_Loan_Portfolio'!E87</x:f>
        <x:v>BB</x:v>
      </x:c>
      <x:c r="C89" t="n">
        <x:f>'02_Loan_Portfolio'!L87</x:f>
        <x:v>0</x:v>
      </x:c>
      <x:c r="D89" t="n">
        <x:f>'02_Loan_Portfolio'!J87</x:f>
        <x:v>2.34</x:v>
      </x:c>
      <x:c r="E89" t="n">
        <x:f>'02_Loan_Portfolio'!K87</x:f>
        <x:v>3.829</x:v>
      </x:c>
      <x:c r="F89" t="str">
        <x:f>IF(OR(C89&gt;=30,D89&lt;1.1,E89&gt;5),"Red",IF(OR(C89&gt;0,D89&lt;1.3,E89&gt;4),"Amber","Green"))</x:f>
        <x:v>Green</x:v>
      </x:c>
      <x:c r="G89" t="str">
        <x:f>IF(C89&gt;=30,"DPD deterioration",IF(D89&lt;1.1,"DSCR weakness",IF(E89&gt;5,"High leverage","Normal")))</x:f>
        <x:v>Normal</x:v>
      </x:c>
    </x:row>
    <x:row r="90">
      <x:c r="A90" t="str">
        <x:f>'02_Loan_Portfolio'!A88</x:f>
        <x:v>LN00087</x:v>
      </x:c>
      <x:c r="B90" t="str">
        <x:f>'02_Loan_Portfolio'!E88</x:f>
        <x:v>AA</x:v>
      </x:c>
      <x:c r="C90" t="n">
        <x:f>'02_Loan_Portfolio'!L88</x:f>
        <x:v>0</x:v>
      </x:c>
      <x:c r="D90" t="n">
        <x:f>'02_Loan_Portfolio'!J88</x:f>
        <x:v>2.281</x:v>
      </x:c>
      <x:c r="E90" t="n">
        <x:f>'02_Loan_Portfolio'!K88</x:f>
        <x:v>5.4</x:v>
      </x:c>
      <x:c r="F90" t="str">
        <x:f>IF(OR(C90&gt;=30,D90&lt;1.1,E90&gt;5),"Red",IF(OR(C90&gt;0,D90&lt;1.3,E90&gt;4),"Amber","Green"))</x:f>
        <x:v>Red</x:v>
      </x:c>
      <x:c r="G90" t="str">
        <x:f>IF(C90&gt;=30,"DPD deterioration",IF(D90&lt;1.1,"DSCR weakness",IF(E90&gt;5,"High leverage","Normal")))</x:f>
        <x:v>High leverage</x:v>
      </x:c>
    </x:row>
    <x:row r="91">
      <x:c r="A91" t="str">
        <x:f>'02_Loan_Portfolio'!A89</x:f>
        <x:v>LN00088</x:v>
      </x:c>
      <x:c r="B91" t="str">
        <x:f>'02_Loan_Portfolio'!E89</x:f>
        <x:v>CCC</x:v>
      </x:c>
      <x:c r="C91" t="n">
        <x:f>'02_Loan_Portfolio'!L89</x:f>
        <x:v>0</x:v>
      </x:c>
      <x:c r="D91" t="n">
        <x:f>'02_Loan_Portfolio'!J89</x:f>
        <x:v>1.706</x:v>
      </x:c>
      <x:c r="E91" t="n">
        <x:f>'02_Loan_Portfolio'!K89</x:f>
        <x:v>2.886</x:v>
      </x:c>
      <x:c r="F91" t="str">
        <x:f>IF(OR(C91&gt;=30,D91&lt;1.1,E91&gt;5),"Red",IF(OR(C91&gt;0,D91&lt;1.3,E91&gt;4),"Amber","Green"))</x:f>
        <x:v>Green</x:v>
      </x:c>
      <x:c r="G91" t="str">
        <x:f>IF(C91&gt;=30,"DPD deterioration",IF(D91&lt;1.1,"DSCR weakness",IF(E91&gt;5,"High leverage","Normal")))</x:f>
        <x:v>Normal</x:v>
      </x:c>
    </x:row>
    <x:row r="92">
      <x:c r="A92" t="str">
        <x:f>'02_Loan_Portfolio'!A90</x:f>
        <x:v>LN00089</x:v>
      </x:c>
      <x:c r="B92" t="str">
        <x:f>'02_Loan_Portfolio'!E90</x:f>
        <x:v>BBB</x:v>
      </x:c>
      <x:c r="C92" t="n">
        <x:f>'02_Loan_Portfolio'!L90</x:f>
        <x:v>35</x:v>
      </x:c>
      <x:c r="D92" t="n">
        <x:f>'02_Loan_Portfolio'!J90</x:f>
        <x:v>1.899</x:v>
      </x:c>
      <x:c r="E92" t="n">
        <x:f>'02_Loan_Portfolio'!K90</x:f>
        <x:v>2.702</x:v>
      </x:c>
      <x:c r="F92" t="str">
        <x:f>IF(OR(C92&gt;=30,D92&lt;1.1,E92&gt;5),"Red",IF(OR(C92&gt;0,D92&lt;1.3,E92&gt;4),"Amber","Green"))</x:f>
        <x:v>Red</x:v>
      </x:c>
      <x:c r="G92" t="str">
        <x:f>IF(C92&gt;=30,"DPD deterioration",IF(D92&lt;1.1,"DSCR weakness",IF(E92&gt;5,"High leverage","Normal")))</x:f>
        <x:v>DPD deterioration</x:v>
      </x:c>
    </x:row>
    <x:row r="93">
      <x:c r="A93" t="str">
        <x:f>'02_Loan_Portfolio'!A91</x:f>
        <x:v>LN00090</x:v>
      </x:c>
      <x:c r="B93" t="str">
        <x:f>'02_Loan_Portfolio'!E91</x:f>
        <x:v>A</x:v>
      </x:c>
      <x:c r="C93" t="n">
        <x:f>'02_Loan_Portfolio'!L91</x:f>
        <x:v>5</x:v>
      </x:c>
      <x:c r="D93" t="n">
        <x:f>'02_Loan_Portfolio'!J91</x:f>
        <x:v>2.396</x:v>
      </x:c>
      <x:c r="E93" t="n">
        <x:f>'02_Loan_Portfolio'!K91</x:f>
        <x:v>4.793</x:v>
      </x:c>
      <x:c r="F93" t="str">
        <x:f>IF(OR(C93&gt;=30,D93&lt;1.1,E93&gt;5),"Red",IF(OR(C93&gt;0,D93&lt;1.3,E93&gt;4),"Amber","Green"))</x:f>
        <x:v>Amber</x:v>
      </x:c>
      <x:c r="G93" t="str">
        <x:f>IF(C93&gt;=30,"DPD deterioration",IF(D93&lt;1.1,"DSCR weakness",IF(E93&gt;5,"High leverage","Normal")))</x:f>
        <x:v>Normal</x:v>
      </x:c>
    </x:row>
    <x:row r="94">
      <x:c r="A94" t="str">
        <x:f>'02_Loan_Portfolio'!A92</x:f>
        <x:v>LN00091</x:v>
      </x:c>
      <x:c r="B94" t="str">
        <x:f>'02_Loan_Portfolio'!E92</x:f>
        <x:v>BB</x:v>
      </x:c>
      <x:c r="C94" t="n">
        <x:f>'02_Loan_Portfolio'!L92</x:f>
        <x:v>0</x:v>
      </x:c>
      <x:c r="D94" t="n">
        <x:f>'02_Loan_Portfolio'!J92</x:f>
        <x:v>1.648</x:v>
      </x:c>
      <x:c r="E94" t="n">
        <x:f>'02_Loan_Portfolio'!K92</x:f>
        <x:v>3.293</x:v>
      </x:c>
      <x:c r="F94" t="str">
        <x:f>IF(OR(C94&gt;=30,D94&lt;1.1,E94&gt;5),"Red",IF(OR(C94&gt;0,D94&lt;1.3,E94&gt;4),"Amber","Green"))</x:f>
        <x:v>Green</x:v>
      </x:c>
      <x:c r="G94" t="str">
        <x:f>IF(C94&gt;=30,"DPD deterioration",IF(D94&lt;1.1,"DSCR weakness",IF(E94&gt;5,"High leverage","Normal")))</x:f>
        <x:v>Normal</x:v>
      </x:c>
    </x:row>
    <x:row r="95">
      <x:c r="A95" t="str">
        <x:f>'02_Loan_Portfolio'!A93</x:f>
        <x:v>LN00092</x:v>
      </x:c>
      <x:c r="B95" t="str">
        <x:f>'02_Loan_Portfolio'!E93</x:f>
        <x:v>BB</x:v>
      </x:c>
      <x:c r="C95" t="n">
        <x:f>'02_Loan_Portfolio'!L93</x:f>
        <x:v>15</x:v>
      </x:c>
      <x:c r="D95" t="n">
        <x:f>'02_Loan_Portfolio'!J93</x:f>
        <x:v>1.566</x:v>
      </x:c>
      <x:c r="E95" t="n">
        <x:f>'02_Loan_Portfolio'!K93</x:f>
        <x:v>3.783</x:v>
      </x:c>
      <x:c r="F95" t="str">
        <x:f>IF(OR(C95&gt;=30,D95&lt;1.1,E95&gt;5),"Red",IF(OR(C95&gt;0,D95&lt;1.3,E95&gt;4),"Amber","Green"))</x:f>
        <x:v>Amber</x:v>
      </x:c>
      <x:c r="G95" t="str">
        <x:f>IF(C95&gt;=30,"DPD deterioration",IF(D95&lt;1.1,"DSCR weakness",IF(E95&gt;5,"High leverage","Normal")))</x:f>
        <x:v>Normal</x:v>
      </x:c>
    </x:row>
    <x:row r="96">
      <x:c r="A96" t="str">
        <x:f>'02_Loan_Portfolio'!A94</x:f>
        <x:v>LN00093</x:v>
      </x:c>
      <x:c r="B96" t="str">
        <x:f>'02_Loan_Portfolio'!E94</x:f>
        <x:v>BB</x:v>
      </x:c>
      <x:c r="C96" t="n">
        <x:f>'02_Loan_Portfolio'!L94</x:f>
        <x:v>0</x:v>
      </x:c>
      <x:c r="D96" t="n">
        <x:f>'02_Loan_Portfolio'!J94</x:f>
        <x:v>1.407</x:v>
      </x:c>
      <x:c r="E96" t="n">
        <x:f>'02_Loan_Portfolio'!K94</x:f>
        <x:v>3.447</x:v>
      </x:c>
      <x:c r="F96" t="str">
        <x:f>IF(OR(C96&gt;=30,D96&lt;1.1,E96&gt;5),"Red",IF(OR(C96&gt;0,D96&lt;1.3,E96&gt;4),"Amber","Green"))</x:f>
        <x:v>Green</x:v>
      </x:c>
      <x:c r="G96" t="str">
        <x:f>IF(C96&gt;=30,"DPD deterioration",IF(D96&lt;1.1,"DSCR weakness",IF(E96&gt;5,"High leverage","Normal")))</x:f>
        <x:v>Normal</x:v>
      </x:c>
    </x:row>
    <x:row r="97">
      <x:c r="A97" t="str">
        <x:f>'02_Loan_Portfolio'!A95</x:f>
        <x:v>LN00094</x:v>
      </x:c>
      <x:c r="B97" t="str">
        <x:f>'02_Loan_Portfolio'!E95</x:f>
        <x:v>B</x:v>
      </x:c>
      <x:c r="C97" t="n">
        <x:f>'02_Loan_Portfolio'!L95</x:f>
        <x:v>35</x:v>
      </x:c>
      <x:c r="D97" t="n">
        <x:f>'02_Loan_Portfolio'!J95</x:f>
        <x:v>1.895</x:v>
      </x:c>
      <x:c r="E97" t="n">
        <x:f>'02_Loan_Portfolio'!K95</x:f>
        <x:v>2.475</x:v>
      </x:c>
      <x:c r="F97" t="str">
        <x:f>IF(OR(C97&gt;=30,D97&lt;1.1,E97&gt;5),"Red",IF(OR(C97&gt;0,D97&lt;1.3,E97&gt;4),"Amber","Green"))</x:f>
        <x:v>Red</x:v>
      </x:c>
      <x:c r="G97" t="str">
        <x:f>IF(C97&gt;=30,"DPD deterioration",IF(D97&lt;1.1,"DSCR weakness",IF(E97&gt;5,"High leverage","Normal")))</x:f>
        <x:v>DPD deterioration</x:v>
      </x:c>
    </x:row>
    <x:row r="98">
      <x:c r="A98" t="str">
        <x:f>'02_Loan_Portfolio'!A96</x:f>
        <x:v>LN00095</x:v>
      </x:c>
      <x:c r="B98" t="str">
        <x:f>'02_Loan_Portfolio'!E96</x:f>
        <x:v>A</x:v>
      </x:c>
      <x:c r="C98" t="n">
        <x:f>'02_Loan_Portfolio'!L96</x:f>
        <x:v>0</x:v>
      </x:c>
      <x:c r="D98" t="n">
        <x:f>'02_Loan_Portfolio'!J96</x:f>
        <x:v>2.271</x:v>
      </x:c>
      <x:c r="E98" t="n">
        <x:f>'02_Loan_Portfolio'!K96</x:f>
        <x:v>4.136</x:v>
      </x:c>
      <x:c r="F98" t="str">
        <x:f>IF(OR(C98&gt;=30,D98&lt;1.1,E98&gt;5),"Red",IF(OR(C98&gt;0,D98&lt;1.3,E98&gt;4),"Amber","Green"))</x:f>
        <x:v>Amber</x:v>
      </x:c>
      <x:c r="G98" t="str">
        <x:f>IF(C98&gt;=30,"DPD deterioration",IF(D98&lt;1.1,"DSCR weakness",IF(E98&gt;5,"High leverage","Normal")))</x:f>
        <x:v>Normal</x:v>
      </x:c>
    </x:row>
    <x:row r="99">
      <x:c r="A99" t="str">
        <x:f>'02_Loan_Portfolio'!A97</x:f>
        <x:v>LN00096</x:v>
      </x:c>
      <x:c r="B99" t="str">
        <x:f>'02_Loan_Portfolio'!E97</x:f>
        <x:v>CCC</x:v>
      </x:c>
      <x:c r="C99" t="n">
        <x:f>'02_Loan_Portfolio'!L97</x:f>
        <x:v>15</x:v>
      </x:c>
      <x:c r="D99" t="n">
        <x:f>'02_Loan_Portfolio'!J97</x:f>
        <x:v>1.227</x:v>
      </x:c>
      <x:c r="E99" t="n">
        <x:f>'02_Loan_Portfolio'!K97</x:f>
        <x:v>1.195</x:v>
      </x:c>
      <x:c r="F99" t="str">
        <x:f>IF(OR(C99&gt;=30,D99&lt;1.1,E99&gt;5),"Red",IF(OR(C99&gt;0,D99&lt;1.3,E99&gt;4),"Amber","Green"))</x:f>
        <x:v>Amber</x:v>
      </x:c>
      <x:c r="G99" t="str">
        <x:f>IF(C99&gt;=30,"DPD deterioration",IF(D99&lt;1.1,"DSCR weakness",IF(E99&gt;5,"High leverage","Normal")))</x:f>
        <x:v>Normal</x:v>
      </x:c>
    </x:row>
    <x:row r="100">
      <x:c r="A100" t="str">
        <x:f>'02_Loan_Portfolio'!A98</x:f>
        <x:v>LN00097</x:v>
      </x:c>
      <x:c r="B100" t="str">
        <x:f>'02_Loan_Portfolio'!E98</x:f>
        <x:v>BB</x:v>
      </x:c>
      <x:c r="C100" t="n">
        <x:f>'02_Loan_Portfolio'!L98</x:f>
        <x:v>0</x:v>
      </x:c>
      <x:c r="D100" t="n">
        <x:f>'02_Loan_Portfolio'!J98</x:f>
        <x:v>1.133</x:v>
      </x:c>
      <x:c r="E100" t="n">
        <x:f>'02_Loan_Portfolio'!K98</x:f>
        <x:v>4.084</x:v>
      </x:c>
      <x:c r="F100" t="str">
        <x:f>IF(OR(C100&gt;=30,D100&lt;1.1,E100&gt;5),"Red",IF(OR(C100&gt;0,D100&lt;1.3,E100&gt;4),"Amber","Green"))</x:f>
        <x:v>Amber</x:v>
      </x:c>
      <x:c r="G100" t="str">
        <x:f>IF(C100&gt;=30,"DPD deterioration",IF(D100&lt;1.1,"DSCR weakness",IF(E100&gt;5,"High leverage","Normal")))</x:f>
        <x:v>Normal</x:v>
      </x:c>
    </x:row>
    <x:row r="101">
      <x:c r="A101" t="str">
        <x:f>'02_Loan_Portfolio'!A99</x:f>
        <x:v>LN00098</x:v>
      </x:c>
      <x:c r="B101" t="str">
        <x:f>'02_Loan_Portfolio'!E99</x:f>
        <x:v>B</x:v>
      </x:c>
      <x:c r="C101" t="n">
        <x:f>'02_Loan_Portfolio'!L99</x:f>
        <x:v>0</x:v>
      </x:c>
      <x:c r="D101" t="n">
        <x:f>'02_Loan_Portfolio'!J99</x:f>
        <x:v>1.71</x:v>
      </x:c>
      <x:c r="E101" t="n">
        <x:f>'02_Loan_Portfolio'!K99</x:f>
        <x:v>2.061</x:v>
      </x:c>
      <x:c r="F101" t="str">
        <x:f>IF(OR(C101&gt;=30,D101&lt;1.1,E101&gt;5),"Red",IF(OR(C101&gt;0,D101&lt;1.3,E101&gt;4),"Amber","Green"))</x:f>
        <x:v>Green</x:v>
      </x:c>
      <x:c r="G101" t="str">
        <x:f>IF(C101&gt;=30,"DPD deterioration",IF(D101&lt;1.1,"DSCR weakness",IF(E101&gt;5,"High leverage","Normal")))</x:f>
        <x:v>Normal</x:v>
      </x:c>
    </x:row>
    <x:row r="102">
      <x:c r="A102" t="str">
        <x:f>'02_Loan_Portfolio'!A100</x:f>
        <x:v>LN00099</x:v>
      </x:c>
      <x:c r="B102" t="str">
        <x:f>'02_Loan_Portfolio'!E100</x:f>
        <x:v>AA</x:v>
      </x:c>
      <x:c r="C102" t="n">
        <x:f>'02_Loan_Portfolio'!L100</x:f>
        <x:v>0</x:v>
      </x:c>
      <x:c r="D102" t="n">
        <x:f>'02_Loan_Portfolio'!J100</x:f>
        <x:v>1.683</x:v>
      </x:c>
      <x:c r="E102" t="n">
        <x:f>'02_Loan_Portfolio'!K100</x:f>
        <x:v>2.174</x:v>
      </x:c>
      <x:c r="F102" t="str">
        <x:f>IF(OR(C102&gt;=30,D102&lt;1.1,E102&gt;5),"Red",IF(OR(C102&gt;0,D102&lt;1.3,E102&gt;4),"Amber","Green"))</x:f>
        <x:v>Green</x:v>
      </x:c>
      <x:c r="G102" t="str">
        <x:f>IF(C102&gt;=30,"DPD deterioration",IF(D102&lt;1.1,"DSCR weakness",IF(E102&gt;5,"High leverage","Normal")))</x:f>
        <x:v>Normal</x:v>
      </x:c>
    </x:row>
    <x:row r="103">
      <x:c r="A103" t="str">
        <x:f>'02_Loan_Portfolio'!A101</x:f>
        <x:v>LN00100</x:v>
      </x:c>
      <x:c r="B103" t="str">
        <x:f>'02_Loan_Portfolio'!E101</x:f>
        <x:v>BB</x:v>
      </x:c>
      <x:c r="C103" t="n">
        <x:f>'02_Loan_Portfolio'!L101</x:f>
        <x:v>0</x:v>
      </x:c>
      <x:c r="D103" t="n">
        <x:f>'02_Loan_Portfolio'!J101</x:f>
        <x:v>1.154</x:v>
      </x:c>
      <x:c r="E103" t="n">
        <x:f>'02_Loan_Portfolio'!K101</x:f>
        <x:v>1.139</x:v>
      </x:c>
      <x:c r="F103" t="str">
        <x:f>IF(OR(C103&gt;=30,D103&lt;1.1,E103&gt;5),"Red",IF(OR(C103&gt;0,D103&lt;1.3,E103&gt;4),"Amber","Green"))</x:f>
        <x:v>Amber</x:v>
      </x:c>
      <x:c r="G103" t="str">
        <x:f>IF(C103&gt;=30,"DPD deterioration",IF(D103&lt;1.1,"DSCR weakness",IF(E103&gt;5,"High leverage","Normal")))</x:f>
        <x:v>Normal</x:v>
      </x:c>
    </x:row>
    <x:row r="104">
      <x:c r="A104" t="str">
        <x:f>'02_Loan_Portfolio'!A102</x:f>
        <x:v>LN00101</x:v>
      </x:c>
      <x:c r="B104" t="str">
        <x:f>'02_Loan_Portfolio'!E102</x:f>
        <x:v>BBB</x:v>
      </x:c>
      <x:c r="C104" t="n">
        <x:f>'02_Loan_Portfolio'!L102</x:f>
        <x:v>0</x:v>
      </x:c>
      <x:c r="D104" t="n">
        <x:f>'02_Loan_Portfolio'!J102</x:f>
        <x:v>1.64</x:v>
      </x:c>
      <x:c r="E104" t="n">
        <x:f>'02_Loan_Portfolio'!K102</x:f>
        <x:v>2.169</x:v>
      </x:c>
      <x:c r="F104" t="str">
        <x:f>IF(OR(C104&gt;=30,D104&lt;1.1,E104&gt;5),"Red",IF(OR(C104&gt;0,D104&lt;1.3,E104&gt;4),"Amber","Green"))</x:f>
        <x:v>Green</x:v>
      </x:c>
      <x:c r="G104" t="str">
        <x:f>IF(C104&gt;=30,"DPD deterioration",IF(D104&lt;1.1,"DSCR weakness",IF(E104&gt;5,"High leverage","Normal")))</x:f>
        <x:v>Normal</x:v>
      </x:c>
    </x:row>
    <x:row r="105">
      <x:c r="A105" t="str">
        <x:f>'02_Loan_Portfolio'!A103</x:f>
        <x:v>LN00102</x:v>
      </x:c>
      <x:c r="B105" t="str">
        <x:f>'02_Loan_Portfolio'!E103</x:f>
        <x:v>A</x:v>
      </x:c>
      <x:c r="C105" t="n">
        <x:f>'02_Loan_Portfolio'!L103</x:f>
        <x:v>65</x:v>
      </x:c>
      <x:c r="D105" t="n">
        <x:f>'02_Loan_Portfolio'!J103</x:f>
        <x:v>0.677</x:v>
      </x:c>
      <x:c r="E105" t="n">
        <x:f>'02_Loan_Portfolio'!K103</x:f>
        <x:v>5.668</x:v>
      </x:c>
      <x:c r="F105" t="str">
        <x:f>IF(OR(C105&gt;=30,D105&lt;1.1,E105&gt;5),"Red",IF(OR(C105&gt;0,D105&lt;1.3,E105&gt;4),"Amber","Green"))</x:f>
        <x:v>Red</x:v>
      </x:c>
      <x:c r="G105" t="str">
        <x:f>IF(C105&gt;=30,"DPD deterioration",IF(D105&lt;1.1,"DSCR weakness",IF(E105&gt;5,"High leverage","Normal")))</x:f>
        <x:v>DPD deterioration</x:v>
      </x:c>
    </x:row>
    <x:row r="106">
      <x:c r="A106" t="str">
        <x:f>'02_Loan_Portfolio'!A104</x:f>
        <x:v>LN00103</x:v>
      </x:c>
      <x:c r="B106" t="str">
        <x:f>'02_Loan_Portfolio'!E104</x:f>
        <x:v>BBB</x:v>
      </x:c>
      <x:c r="C106" t="n">
        <x:f>'02_Loan_Portfolio'!L104</x:f>
        <x:v>0</x:v>
      </x:c>
      <x:c r="D106" t="n">
        <x:f>'02_Loan_Portfolio'!J104</x:f>
        <x:v>1.401</x:v>
      </x:c>
      <x:c r="E106" t="n">
        <x:f>'02_Loan_Portfolio'!K104</x:f>
        <x:v>2.021</x:v>
      </x:c>
      <x:c r="F106" t="str">
        <x:f>IF(OR(C106&gt;=30,D106&lt;1.1,E106&gt;5),"Red",IF(OR(C106&gt;0,D106&lt;1.3,E106&gt;4),"Amber","Green"))</x:f>
        <x:v>Green</x:v>
      </x:c>
      <x:c r="G106" t="str">
        <x:f>IF(C106&gt;=30,"DPD deterioration",IF(D106&lt;1.1,"DSCR weakness",IF(E106&gt;5,"High leverage","Normal")))</x:f>
        <x:v>Normal</x:v>
      </x:c>
    </x:row>
    <x:row r="107">
      <x:c r="A107" t="str">
        <x:f>'02_Loan_Portfolio'!A105</x:f>
        <x:v>LN00104</x:v>
      </x:c>
      <x:c r="B107" t="str">
        <x:f>'02_Loan_Portfolio'!E105</x:f>
        <x:v>BB</x:v>
      </x:c>
      <x:c r="C107" t="n">
        <x:f>'02_Loan_Portfolio'!L105</x:f>
        <x:v>0</x:v>
      </x:c>
      <x:c r="D107" t="n">
        <x:f>'02_Loan_Portfolio'!J105</x:f>
        <x:v>2.062</x:v>
      </x:c>
      <x:c r="E107" t="n">
        <x:f>'02_Loan_Portfolio'!K105</x:f>
        <x:v>1.196</x:v>
      </x:c>
      <x:c r="F107" t="str">
        <x:f>IF(OR(C107&gt;=30,D107&lt;1.1,E107&gt;5),"Red",IF(OR(C107&gt;0,D107&lt;1.3,E107&gt;4),"Amber","Green"))</x:f>
        <x:v>Green</x:v>
      </x:c>
      <x:c r="G107" t="str">
        <x:f>IF(C107&gt;=30,"DPD deterioration",IF(D107&lt;1.1,"DSCR weakness",IF(E107&gt;5,"High leverage","Normal")))</x:f>
        <x:v>Normal</x:v>
      </x:c>
    </x:row>
    <x:row r="108">
      <x:c r="A108" t="str">
        <x:f>'02_Loan_Portfolio'!A106</x:f>
        <x:v>LN00105</x:v>
      </x:c>
      <x:c r="B108" t="str">
        <x:f>'02_Loan_Portfolio'!E106</x:f>
        <x:v>B</x:v>
      </x:c>
      <x:c r="C108" t="n">
        <x:f>'02_Loan_Portfolio'!L106</x:f>
        <x:v>0</x:v>
      </x:c>
      <x:c r="D108" t="n">
        <x:f>'02_Loan_Portfolio'!J106</x:f>
        <x:v>0.59</x:v>
      </x:c>
      <x:c r="E108" t="n">
        <x:f>'02_Loan_Portfolio'!K106</x:f>
        <x:v>1.552</x:v>
      </x:c>
      <x:c r="F108" t="str">
        <x:f>IF(OR(C108&gt;=30,D108&lt;1.1,E108&gt;5),"Red",IF(OR(C108&gt;0,D108&lt;1.3,E108&gt;4),"Amber","Green"))</x:f>
        <x:v>Red</x:v>
      </x:c>
      <x:c r="G108" t="str">
        <x:f>IF(C108&gt;=30,"DPD deterioration",IF(D108&lt;1.1,"DSCR weakness",IF(E108&gt;5,"High leverage","Normal")))</x:f>
        <x:v>DSCR weakness</x:v>
      </x:c>
    </x:row>
    <x:row r="109">
      <x:c r="A109" t="str">
        <x:f>'02_Loan_Portfolio'!A107</x:f>
        <x:v>LN00106</x:v>
      </x:c>
      <x:c r="B109" t="str">
        <x:f>'02_Loan_Portfolio'!E107</x:f>
        <x:v>BB</x:v>
      </x:c>
      <x:c r="C109" t="n">
        <x:f>'02_Loan_Portfolio'!L107</x:f>
        <x:v>65</x:v>
      </x:c>
      <x:c r="D109" t="n">
        <x:f>'02_Loan_Portfolio'!J107</x:f>
        <x:v>1.761</x:v>
      </x:c>
      <x:c r="E109" t="n">
        <x:f>'02_Loan_Portfolio'!K107</x:f>
        <x:v>4.719</x:v>
      </x:c>
      <x:c r="F109" t="str">
        <x:f>IF(OR(C109&gt;=30,D109&lt;1.1,E109&gt;5),"Red",IF(OR(C109&gt;0,D109&lt;1.3,E109&gt;4),"Amber","Green"))</x:f>
        <x:v>Red</x:v>
      </x:c>
      <x:c r="G109" t="str">
        <x:f>IF(C109&gt;=30,"DPD deterioration",IF(D109&lt;1.1,"DSCR weakness",IF(E109&gt;5,"High leverage","Normal")))</x:f>
        <x:v>DPD deterioration</x:v>
      </x:c>
    </x:row>
    <x:row r="110">
      <x:c r="A110" t="str">
        <x:f>'02_Loan_Portfolio'!A108</x:f>
        <x:v>LN00107</x:v>
      </x:c>
      <x:c r="B110" t="str">
        <x:f>'02_Loan_Portfolio'!E108</x:f>
        <x:v>A</x:v>
      </x:c>
      <x:c r="C110" t="n">
        <x:f>'02_Loan_Portfolio'!L108</x:f>
        <x:v>5</x:v>
      </x:c>
      <x:c r="D110" t="n">
        <x:f>'02_Loan_Portfolio'!J108</x:f>
        <x:v>1.127</x:v>
      </x:c>
      <x:c r="E110" t="n">
        <x:f>'02_Loan_Portfolio'!K108</x:f>
        <x:v>2.903</x:v>
      </x:c>
      <x:c r="F110" t="str">
        <x:f>IF(OR(C110&gt;=30,D110&lt;1.1,E110&gt;5),"Red",IF(OR(C110&gt;0,D110&lt;1.3,E110&gt;4),"Amber","Green"))</x:f>
        <x:v>Amber</x:v>
      </x:c>
      <x:c r="G110" t="str">
        <x:f>IF(C110&gt;=30,"DPD deterioration",IF(D110&lt;1.1,"DSCR weakness",IF(E110&gt;5,"High leverage","Normal")))</x:f>
        <x:v>Normal</x:v>
      </x:c>
    </x:row>
    <x:row r="111">
      <x:c r="A111" t="str">
        <x:f>'02_Loan_Portfolio'!A109</x:f>
        <x:v>LN00108</x:v>
      </x:c>
      <x:c r="B111" t="str">
        <x:f>'02_Loan_Portfolio'!E109</x:f>
        <x:v>CCC</x:v>
      </x:c>
      <x:c r="C111" t="n">
        <x:f>'02_Loan_Portfolio'!L109</x:f>
        <x:v>35</x:v>
      </x:c>
      <x:c r="D111" t="n">
        <x:f>'02_Loan_Portfolio'!J109</x:f>
        <x:v>1.245</x:v>
      </x:c>
      <x:c r="E111" t="n">
        <x:f>'02_Loan_Portfolio'!K109</x:f>
        <x:v>2.511</x:v>
      </x:c>
      <x:c r="F111" t="str">
        <x:f>IF(OR(C111&gt;=30,D111&lt;1.1,E111&gt;5),"Red",IF(OR(C111&gt;0,D111&lt;1.3,E111&gt;4),"Amber","Green"))</x:f>
        <x:v>Red</x:v>
      </x:c>
      <x:c r="G111" t="str">
        <x:f>IF(C111&gt;=30,"DPD deterioration",IF(D111&lt;1.1,"DSCR weakness",IF(E111&gt;5,"High leverage","Normal")))</x:f>
        <x:v>DPD deterioration</x:v>
      </x:c>
    </x:row>
    <x:row r="112">
      <x:c r="A112" t="str">
        <x:f>'02_Loan_Portfolio'!A110</x:f>
        <x:v>LN00109</x:v>
      </x:c>
      <x:c r="B112" t="str">
        <x:f>'02_Loan_Portfolio'!E110</x:f>
        <x:v>BBB</x:v>
      </x:c>
      <x:c r="C112" t="n">
        <x:f>'02_Loan_Portfolio'!L110</x:f>
        <x:v>5</x:v>
      </x:c>
      <x:c r="D112" t="n">
        <x:f>'02_Loan_Portfolio'!J110</x:f>
        <x:v>1.331</x:v>
      </x:c>
      <x:c r="E112" t="n">
        <x:f>'02_Loan_Portfolio'!K110</x:f>
        <x:v>2.653</x:v>
      </x:c>
      <x:c r="F112" t="str">
        <x:f>IF(OR(C112&gt;=30,D112&lt;1.1,E112&gt;5),"Red",IF(OR(C112&gt;0,D112&lt;1.3,E112&gt;4),"Amber","Green"))</x:f>
        <x:v>Amber</x:v>
      </x:c>
      <x:c r="G112" t="str">
        <x:f>IF(C112&gt;=30,"DPD deterioration",IF(D112&lt;1.1,"DSCR weakness",IF(E112&gt;5,"High leverage","Normal")))</x:f>
        <x:v>Normal</x:v>
      </x:c>
    </x:row>
    <x:row r="113">
      <x:c r="A113" t="str">
        <x:f>'02_Loan_Portfolio'!A111</x:f>
        <x:v>LN00110</x:v>
      </x:c>
      <x:c r="B113" t="str">
        <x:f>'02_Loan_Portfolio'!E111</x:f>
        <x:v>B</x:v>
      </x:c>
      <x:c r="C113" t="n">
        <x:f>'02_Loan_Portfolio'!L111</x:f>
        <x:v>0</x:v>
      </x:c>
      <x:c r="D113" t="n">
        <x:f>'02_Loan_Portfolio'!J111</x:f>
        <x:v>2.475</x:v>
      </x:c>
      <x:c r="E113" t="n">
        <x:f>'02_Loan_Portfolio'!K111</x:f>
        <x:v>5.983</x:v>
      </x:c>
      <x:c r="F113" t="str">
        <x:f>IF(OR(C113&gt;=30,D113&lt;1.1,E113&gt;5),"Red",IF(OR(C113&gt;0,D113&lt;1.3,E113&gt;4),"Amber","Green"))</x:f>
        <x:v>Red</x:v>
      </x:c>
      <x:c r="G113" t="str">
        <x:f>IF(C113&gt;=30,"DPD deterioration",IF(D113&lt;1.1,"DSCR weakness",IF(E113&gt;5,"High leverage","Normal")))</x:f>
        <x:v>High leverage</x:v>
      </x:c>
    </x:row>
    <x:row r="114">
      <x:c r="A114" t="str">
        <x:f>'02_Loan_Portfolio'!A112</x:f>
        <x:v>LN00111</x:v>
      </x:c>
      <x:c r="B114" t="str">
        <x:f>'02_Loan_Portfolio'!E112</x:f>
        <x:v>CCC</x:v>
      </x:c>
      <x:c r="C114" t="n">
        <x:f>'02_Loan_Portfolio'!L112</x:f>
        <x:v>0</x:v>
      </x:c>
      <x:c r="D114" t="n">
        <x:f>'02_Loan_Portfolio'!J112</x:f>
        <x:v>1.795</x:v>
      </x:c>
      <x:c r="E114" t="n">
        <x:f>'02_Loan_Portfolio'!K112</x:f>
        <x:v>3.956</x:v>
      </x:c>
      <x:c r="F114" t="str">
        <x:f>IF(OR(C114&gt;=30,D114&lt;1.1,E114&gt;5),"Red",IF(OR(C114&gt;0,D114&lt;1.3,E114&gt;4),"Amber","Green"))</x:f>
        <x:v>Green</x:v>
      </x:c>
      <x:c r="G114" t="str">
        <x:f>IF(C114&gt;=30,"DPD deterioration",IF(D114&lt;1.1,"DSCR weakness",IF(E114&gt;5,"High leverage","Normal")))</x:f>
        <x:v>Normal</x:v>
      </x:c>
    </x:row>
    <x:row r="115">
      <x:c r="A115" t="str">
        <x:f>'02_Loan_Portfolio'!A113</x:f>
        <x:v>LN00112</x:v>
      </x:c>
      <x:c r="B115" t="str">
        <x:f>'02_Loan_Portfolio'!E113</x:f>
        <x:v>AA</x:v>
      </x:c>
      <x:c r="C115" t="n">
        <x:f>'02_Loan_Portfolio'!L113</x:f>
        <x:v>65</x:v>
      </x:c>
      <x:c r="D115" t="n">
        <x:f>'02_Loan_Portfolio'!J113</x:f>
        <x:v>1.385</x:v>
      </x:c>
      <x:c r="E115" t="n">
        <x:f>'02_Loan_Portfolio'!K113</x:f>
        <x:v>1.94</x:v>
      </x:c>
      <x:c r="F115" t="str">
        <x:f>IF(OR(C115&gt;=30,D115&lt;1.1,E115&gt;5),"Red",IF(OR(C115&gt;0,D115&lt;1.3,E115&gt;4),"Amber","Green"))</x:f>
        <x:v>Red</x:v>
      </x:c>
      <x:c r="G115" t="str">
        <x:f>IF(C115&gt;=30,"DPD deterioration",IF(D115&lt;1.1,"DSCR weakness",IF(E115&gt;5,"High leverage","Normal")))</x:f>
        <x:v>DPD deterioration</x:v>
      </x:c>
    </x:row>
    <x:row r="116">
      <x:c r="A116" t="str">
        <x:f>'02_Loan_Portfolio'!A114</x:f>
        <x:v>LN00113</x:v>
      </x:c>
      <x:c r="B116" t="str">
        <x:f>'02_Loan_Portfolio'!E114</x:f>
        <x:v>BBB</x:v>
      </x:c>
      <x:c r="C116" t="n">
        <x:f>'02_Loan_Portfolio'!L114</x:f>
        <x:v>0</x:v>
      </x:c>
      <x:c r="D116" t="n">
        <x:f>'02_Loan_Portfolio'!J114</x:f>
        <x:v>2.058</x:v>
      </x:c>
      <x:c r="E116" t="n">
        <x:f>'02_Loan_Portfolio'!K114</x:f>
        <x:v>3.992</x:v>
      </x:c>
      <x:c r="F116" t="str">
        <x:f>IF(OR(C116&gt;=30,D116&lt;1.1,E116&gt;5),"Red",IF(OR(C116&gt;0,D116&lt;1.3,E116&gt;4),"Amber","Green"))</x:f>
        <x:v>Green</x:v>
      </x:c>
      <x:c r="G116" t="str">
        <x:f>IF(C116&gt;=30,"DPD deterioration",IF(D116&lt;1.1,"DSCR weakness",IF(E116&gt;5,"High leverage","Normal")))</x:f>
        <x:v>Normal</x:v>
      </x:c>
    </x:row>
    <x:row r="117">
      <x:c r="A117" t="str">
        <x:f>'02_Loan_Portfolio'!A115</x:f>
        <x:v>LN00114</x:v>
      </x:c>
      <x:c r="B117" t="str">
        <x:f>'02_Loan_Portfolio'!E115</x:f>
        <x:v>BBB</x:v>
      </x:c>
      <x:c r="C117" t="n">
        <x:f>'02_Loan_Portfolio'!L115</x:f>
        <x:v>35</x:v>
      </x:c>
      <x:c r="D117" t="n">
        <x:f>'02_Loan_Portfolio'!J115</x:f>
        <x:v>1.665</x:v>
      </x:c>
      <x:c r="E117" t="n">
        <x:f>'02_Loan_Portfolio'!K115</x:f>
        <x:v>4.535</x:v>
      </x:c>
      <x:c r="F117" t="str">
        <x:f>IF(OR(C117&gt;=30,D117&lt;1.1,E117&gt;5),"Red",IF(OR(C117&gt;0,D117&lt;1.3,E117&gt;4),"Amber","Green"))</x:f>
        <x:v>Red</x:v>
      </x:c>
      <x:c r="G117" t="str">
        <x:f>IF(C117&gt;=30,"DPD deterioration",IF(D117&lt;1.1,"DSCR weakness",IF(E117&gt;5,"High leverage","Normal")))</x:f>
        <x:v>DPD deterioration</x:v>
      </x:c>
    </x:row>
    <x:row r="118">
      <x:c r="A118" t="str">
        <x:f>'02_Loan_Portfolio'!A116</x:f>
        <x:v>LN00115</x:v>
      </x:c>
      <x:c r="B118" t="str">
        <x:f>'02_Loan_Portfolio'!E116</x:f>
        <x:v>BBB</x:v>
      </x:c>
      <x:c r="C118" t="n">
        <x:f>'02_Loan_Portfolio'!L116</x:f>
        <x:v>0</x:v>
      </x:c>
      <x:c r="D118" t="n">
        <x:f>'02_Loan_Portfolio'!J116</x:f>
        <x:v>1.911</x:v>
      </x:c>
      <x:c r="E118" t="n">
        <x:f>'02_Loan_Portfolio'!K116</x:f>
        <x:v>4.764</x:v>
      </x:c>
      <x:c r="F118" t="str">
        <x:f>IF(OR(C118&gt;=30,D118&lt;1.1,E118&gt;5),"Red",IF(OR(C118&gt;0,D118&lt;1.3,E118&gt;4),"Amber","Green"))</x:f>
        <x:v>Amber</x:v>
      </x:c>
      <x:c r="G118" t="str">
        <x:f>IF(C118&gt;=30,"DPD deterioration",IF(D118&lt;1.1,"DSCR weakness",IF(E118&gt;5,"High leverage","Normal")))</x:f>
        <x:v>Normal</x:v>
      </x:c>
    </x:row>
    <x:row r="119">
      <x:c r="A119" t="str">
        <x:f>'02_Loan_Portfolio'!A117</x:f>
        <x:v>LN00116</x:v>
      </x:c>
      <x:c r="B119" t="str">
        <x:f>'02_Loan_Portfolio'!E117</x:f>
        <x:v>BB</x:v>
      </x:c>
      <x:c r="C119" t="n">
        <x:f>'02_Loan_Portfolio'!L117</x:f>
        <x:v>0</x:v>
      </x:c>
      <x:c r="D119" t="n">
        <x:f>'02_Loan_Portfolio'!J117</x:f>
        <x:v>1.663</x:v>
      </x:c>
      <x:c r="E119" t="n">
        <x:f>'02_Loan_Portfolio'!K117</x:f>
        <x:v>3.443</x:v>
      </x:c>
      <x:c r="F119" t="str">
        <x:f>IF(OR(C119&gt;=30,D119&lt;1.1,E119&gt;5),"Red",IF(OR(C119&gt;0,D119&lt;1.3,E119&gt;4),"Amber","Green"))</x:f>
        <x:v>Green</x:v>
      </x:c>
      <x:c r="G119" t="str">
        <x:f>IF(C119&gt;=30,"DPD deterioration",IF(D119&lt;1.1,"DSCR weakness",IF(E119&gt;5,"High leverage","Normal")))</x:f>
        <x:v>Normal</x:v>
      </x:c>
    </x:row>
    <x:row r="120">
      <x:c r="A120" t="str">
        <x:f>'02_Loan_Portfolio'!A118</x:f>
        <x:v>LN00117</x:v>
      </x:c>
      <x:c r="B120" t="str">
        <x:f>'02_Loan_Portfolio'!E118</x:f>
        <x:v>BB</x:v>
      </x:c>
      <x:c r="C120" t="n">
        <x:f>'02_Loan_Portfolio'!L118</x:f>
        <x:v>0</x:v>
      </x:c>
      <x:c r="D120" t="n">
        <x:f>'02_Loan_Portfolio'!J118</x:f>
        <x:v>2.405</x:v>
      </x:c>
      <x:c r="E120" t="n">
        <x:f>'02_Loan_Portfolio'!K118</x:f>
        <x:v>1.442</x:v>
      </x:c>
      <x:c r="F120" t="str">
        <x:f>IF(OR(C120&gt;=30,D120&lt;1.1,E120&gt;5),"Red",IF(OR(C120&gt;0,D120&lt;1.3,E120&gt;4),"Amber","Green"))</x:f>
        <x:v>Green</x:v>
      </x:c>
      <x:c r="G120" t="str">
        <x:f>IF(C120&gt;=30,"DPD deterioration",IF(D120&lt;1.1,"DSCR weakness",IF(E120&gt;5,"High leverage","Normal")))</x:f>
        <x:v>Normal</x:v>
      </x:c>
    </x:row>
    <x:row r="121">
      <x:c r="A121" t="str">
        <x:f>'02_Loan_Portfolio'!A119</x:f>
        <x:v>LN00118</x:v>
      </x:c>
      <x:c r="B121" t="str">
        <x:f>'02_Loan_Portfolio'!E119</x:f>
        <x:v>BBB</x:v>
      </x:c>
      <x:c r="C121" t="n">
        <x:f>'02_Loan_Portfolio'!L119</x:f>
        <x:v>0</x:v>
      </x:c>
      <x:c r="D121" t="n">
        <x:f>'02_Loan_Portfolio'!J119</x:f>
        <x:v>2.613</x:v>
      </x:c>
      <x:c r="E121" t="n">
        <x:f>'02_Loan_Portfolio'!K119</x:f>
        <x:v>5.694</x:v>
      </x:c>
      <x:c r="F121" t="str">
        <x:f>IF(OR(C121&gt;=30,D121&lt;1.1,E121&gt;5),"Red",IF(OR(C121&gt;0,D121&lt;1.3,E121&gt;4),"Amber","Green"))</x:f>
        <x:v>Red</x:v>
      </x:c>
      <x:c r="G121" t="str">
        <x:f>IF(C121&gt;=30,"DPD deterioration",IF(D121&lt;1.1,"DSCR weakness",IF(E121&gt;5,"High leverage","Normal")))</x:f>
        <x:v>High leverage</x:v>
      </x:c>
    </x:row>
    <x:row r="122">
      <x:c r="A122" t="str">
        <x:f>'02_Loan_Portfolio'!A120</x:f>
        <x:v>LN00119</x:v>
      </x:c>
      <x:c r="B122" t="str">
        <x:f>'02_Loan_Portfolio'!E120</x:f>
        <x:v>BB</x:v>
      </x:c>
      <x:c r="C122" t="n">
        <x:f>'02_Loan_Portfolio'!L120</x:f>
        <x:v>5</x:v>
      </x:c>
      <x:c r="D122" t="n">
        <x:f>'02_Loan_Portfolio'!J120</x:f>
        <x:v>2.406</x:v>
      </x:c>
      <x:c r="E122" t="n">
        <x:f>'02_Loan_Portfolio'!K120</x:f>
        <x:v>5.039</x:v>
      </x:c>
      <x:c r="F122" t="str">
        <x:f>IF(OR(C122&gt;=30,D122&lt;1.1,E122&gt;5),"Red",IF(OR(C122&gt;0,D122&lt;1.3,E122&gt;4),"Amber","Green"))</x:f>
        <x:v>Red</x:v>
      </x:c>
      <x:c r="G122" t="str">
        <x:f>IF(C122&gt;=30,"DPD deterioration",IF(D122&lt;1.1,"DSCR weakness",IF(E122&gt;5,"High leverage","Normal")))</x:f>
        <x:v>High leverage</x:v>
      </x:c>
    </x:row>
    <x:row r="123">
      <x:c r="A123" t="str">
        <x:f>'02_Loan_Portfolio'!A121</x:f>
        <x:v>LN00120</x:v>
      </x:c>
      <x:c r="B123" t="str">
        <x:f>'02_Loan_Portfolio'!E121</x:f>
        <x:v>BBB</x:v>
      </x:c>
      <x:c r="C123" t="n">
        <x:f>'02_Loan_Portfolio'!L121</x:f>
        <x:v>0</x:v>
      </x:c>
      <x:c r="D123" t="n">
        <x:f>'02_Loan_Portfolio'!J121</x:f>
        <x:v>1.03</x:v>
      </x:c>
      <x:c r="E123" t="n">
        <x:f>'02_Loan_Portfolio'!K121</x:f>
        <x:v>1.365</x:v>
      </x:c>
      <x:c r="F123" t="str">
        <x:f>IF(OR(C123&gt;=30,D123&lt;1.1,E123&gt;5),"Red",IF(OR(C123&gt;0,D123&lt;1.3,E123&gt;4),"Amber","Green"))</x:f>
        <x:v>Red</x:v>
      </x:c>
      <x:c r="G123" t="str">
        <x:f>IF(C123&gt;=30,"DPD deterioration",IF(D123&lt;1.1,"DSCR weakness",IF(E123&gt;5,"High leverage","Normal")))</x:f>
        <x:v>DSCR weakness</x:v>
      </x:c>
    </x:row>
    <x:row r="124">
      <x:c r="A124" t="str">
        <x:f>'02_Loan_Portfolio'!A122</x:f>
        <x:v>LN00121</x:v>
      </x:c>
      <x:c r="B124" t="str">
        <x:f>'02_Loan_Portfolio'!E122</x:f>
        <x:v>BBB</x:v>
      </x:c>
      <x:c r="C124" t="n">
        <x:f>'02_Loan_Portfolio'!L122</x:f>
        <x:v>0</x:v>
      </x:c>
      <x:c r="D124" t="n">
        <x:f>'02_Loan_Portfolio'!J122</x:f>
        <x:v>1.4</x:v>
      </x:c>
      <x:c r="E124" t="n">
        <x:f>'02_Loan_Portfolio'!K122</x:f>
        <x:v>4.508</x:v>
      </x:c>
      <x:c r="F124" t="str">
        <x:f>IF(OR(C124&gt;=30,D124&lt;1.1,E124&gt;5),"Red",IF(OR(C124&gt;0,D124&lt;1.3,E124&gt;4),"Amber","Green"))</x:f>
        <x:v>Amber</x:v>
      </x:c>
      <x:c r="G124" t="str">
        <x:f>IF(C124&gt;=30,"DPD deterioration",IF(D124&lt;1.1,"DSCR weakness",IF(E124&gt;5,"High leverage","Normal")))</x:f>
        <x:v>Normal</x:v>
      </x:c>
    </x:row>
    <x:row r="125">
      <x:c r="A125" t="str">
        <x:f>'02_Loan_Portfolio'!A123</x:f>
        <x:v>LN00122</x:v>
      </x:c>
      <x:c r="B125" t="str">
        <x:f>'02_Loan_Portfolio'!E123</x:f>
        <x:v>CCC</x:v>
      </x:c>
      <x:c r="C125" t="n">
        <x:f>'02_Loan_Portfolio'!L123</x:f>
        <x:v>0</x:v>
      </x:c>
      <x:c r="D125" t="n">
        <x:f>'02_Loan_Portfolio'!J123</x:f>
        <x:v>1.921</x:v>
      </x:c>
      <x:c r="E125" t="n">
        <x:f>'02_Loan_Portfolio'!K123</x:f>
        <x:v>0.985</x:v>
      </x:c>
      <x:c r="F125" t="str">
        <x:f>IF(OR(C125&gt;=30,D125&lt;1.1,E125&gt;5),"Red",IF(OR(C125&gt;0,D125&lt;1.3,E125&gt;4),"Amber","Green"))</x:f>
        <x:v>Green</x:v>
      </x:c>
      <x:c r="G125" t="str">
        <x:f>IF(C125&gt;=30,"DPD deterioration",IF(D125&lt;1.1,"DSCR weakness",IF(E125&gt;5,"High leverage","Normal")))</x:f>
        <x:v>Normal</x:v>
      </x:c>
    </x:row>
    <x:row r="126">
      <x:c r="A126" t="str">
        <x:f>'02_Loan_Portfolio'!A124</x:f>
        <x:v>LN00123</x:v>
      </x:c>
      <x:c r="B126" t="str">
        <x:f>'02_Loan_Portfolio'!E124</x:f>
        <x:v>BBB</x:v>
      </x:c>
      <x:c r="C126" t="n">
        <x:f>'02_Loan_Portfolio'!L124</x:f>
        <x:v>0</x:v>
      </x:c>
      <x:c r="D126" t="n">
        <x:f>'02_Loan_Portfolio'!J124</x:f>
        <x:v>1.843</x:v>
      </x:c>
      <x:c r="E126" t="n">
        <x:f>'02_Loan_Portfolio'!K124</x:f>
        <x:v>0.2</x:v>
      </x:c>
      <x:c r="F126" t="str">
        <x:f>IF(OR(C126&gt;=30,D126&lt;1.1,E126&gt;5),"Red",IF(OR(C126&gt;0,D126&lt;1.3,E126&gt;4),"Amber","Green"))</x:f>
        <x:v>Green</x:v>
      </x:c>
      <x:c r="G126" t="str">
        <x:f>IF(C126&gt;=30,"DPD deterioration",IF(D126&lt;1.1,"DSCR weakness",IF(E126&gt;5,"High leverage","Normal")))</x:f>
        <x:v>Normal</x:v>
      </x:c>
    </x:row>
    <x:row r="127">
      <x:c r="A127" t="str">
        <x:f>'02_Loan_Portfolio'!A125</x:f>
        <x:v>LN00124</x:v>
      </x:c>
      <x:c r="B127" t="str">
        <x:f>'02_Loan_Portfolio'!E125</x:f>
        <x:v>BBB</x:v>
      </x:c>
      <x:c r="C127" t="n">
        <x:f>'02_Loan_Portfolio'!L125</x:f>
        <x:v>15</x:v>
      </x:c>
      <x:c r="D127" t="n">
        <x:f>'02_Loan_Portfolio'!J125</x:f>
        <x:v>2.514</x:v>
      </x:c>
      <x:c r="E127" t="n">
        <x:f>'02_Loan_Portfolio'!K125</x:f>
        <x:v>2.26</x:v>
      </x:c>
      <x:c r="F127" t="str">
        <x:f>IF(OR(C127&gt;=30,D127&lt;1.1,E127&gt;5),"Red",IF(OR(C127&gt;0,D127&lt;1.3,E127&gt;4),"Amber","Green"))</x:f>
        <x:v>Amber</x:v>
      </x:c>
      <x:c r="G127" t="str">
        <x:f>IF(C127&gt;=30,"DPD deterioration",IF(D127&lt;1.1,"DSCR weakness",IF(E127&gt;5,"High leverage","Normal")))</x:f>
        <x:v>Normal</x:v>
      </x:c>
    </x:row>
    <x:row r="128">
      <x:c r="A128" t="str">
        <x:f>'02_Loan_Portfolio'!A126</x:f>
        <x:v>LN00125</x:v>
      </x:c>
      <x:c r="B128" t="str">
        <x:f>'02_Loan_Portfolio'!E126</x:f>
        <x:v>A</x:v>
      </x:c>
      <x:c r="C128" t="n">
        <x:f>'02_Loan_Portfolio'!L126</x:f>
        <x:v>0</x:v>
      </x:c>
      <x:c r="D128" t="n">
        <x:f>'02_Loan_Portfolio'!J126</x:f>
        <x:v>2.196</x:v>
      </x:c>
      <x:c r="E128" t="n">
        <x:f>'02_Loan_Portfolio'!K126</x:f>
        <x:v>4.213</x:v>
      </x:c>
      <x:c r="F128" t="str">
        <x:f>IF(OR(C128&gt;=30,D128&lt;1.1,E128&gt;5),"Red",IF(OR(C128&gt;0,D128&lt;1.3,E128&gt;4),"Amber","Green"))</x:f>
        <x:v>Amber</x:v>
      </x:c>
      <x:c r="G128" t="str">
        <x:f>IF(C128&gt;=30,"DPD deterioration",IF(D128&lt;1.1,"DSCR weakness",IF(E128&gt;5,"High leverage","Normal")))</x:f>
        <x:v>Normal</x:v>
      </x:c>
    </x:row>
    <x:row r="129">
      <x:c r="A129" t="str">
        <x:f>'02_Loan_Portfolio'!A127</x:f>
        <x:v>LN00126</x:v>
      </x:c>
      <x:c r="B129" t="str">
        <x:f>'02_Loan_Portfolio'!E127</x:f>
        <x:v>BB</x:v>
      </x:c>
      <x:c r="C129" t="n">
        <x:f>'02_Loan_Portfolio'!L127</x:f>
        <x:v>0</x:v>
      </x:c>
      <x:c r="D129" t="n">
        <x:f>'02_Loan_Portfolio'!J127</x:f>
        <x:v>1.069</x:v>
      </x:c>
      <x:c r="E129" t="n">
        <x:f>'02_Loan_Portfolio'!K127</x:f>
        <x:v>0.773</x:v>
      </x:c>
      <x:c r="F129" t="str">
        <x:f>IF(OR(C129&gt;=30,D129&lt;1.1,E129&gt;5),"Red",IF(OR(C129&gt;0,D129&lt;1.3,E129&gt;4),"Amber","Green"))</x:f>
        <x:v>Red</x:v>
      </x:c>
      <x:c r="G129" t="str">
        <x:f>IF(C129&gt;=30,"DPD deterioration",IF(D129&lt;1.1,"DSCR weakness",IF(E129&gt;5,"High leverage","Normal")))</x:f>
        <x:v>DSCR weakness</x:v>
      </x:c>
    </x:row>
    <x:row r="130">
      <x:c r="A130" t="str">
        <x:f>'02_Loan_Portfolio'!A128</x:f>
        <x:v>LN00127</x:v>
      </x:c>
      <x:c r="B130" t="str">
        <x:f>'02_Loan_Portfolio'!E128</x:f>
        <x:v>B</x:v>
      </x:c>
      <x:c r="C130" t="n">
        <x:f>'02_Loan_Portfolio'!L128</x:f>
        <x:v>0</x:v>
      </x:c>
      <x:c r="D130" t="n">
        <x:f>'02_Loan_Portfolio'!J128</x:f>
        <x:v>2.642</x:v>
      </x:c>
      <x:c r="E130" t="n">
        <x:f>'02_Loan_Portfolio'!K128</x:f>
        <x:v>4.004</x:v>
      </x:c>
      <x:c r="F130" t="str">
        <x:f>IF(OR(C130&gt;=30,D130&lt;1.1,E130&gt;5),"Red",IF(OR(C130&gt;0,D130&lt;1.3,E130&gt;4),"Amber","Green"))</x:f>
        <x:v>Amber</x:v>
      </x:c>
      <x:c r="G130" t="str">
        <x:f>IF(C130&gt;=30,"DPD deterioration",IF(D130&lt;1.1,"DSCR weakness",IF(E130&gt;5,"High leverage","Normal")))</x:f>
        <x:v>Normal</x:v>
      </x:c>
    </x:row>
    <x:row r="131">
      <x:c r="A131" t="str">
        <x:f>'02_Loan_Portfolio'!A129</x:f>
        <x:v>LN00128</x:v>
      </x:c>
      <x:c r="B131" t="str">
        <x:f>'02_Loan_Portfolio'!E129</x:f>
        <x:v>BB</x:v>
      </x:c>
      <x:c r="C131" t="n">
        <x:f>'02_Loan_Portfolio'!L129</x:f>
        <x:v>0</x:v>
      </x:c>
      <x:c r="D131" t="n">
        <x:f>'02_Loan_Portfolio'!J129</x:f>
        <x:v>1.895</x:v>
      </x:c>
      <x:c r="E131" t="n">
        <x:f>'02_Loan_Portfolio'!K129</x:f>
        <x:v>3.841</x:v>
      </x:c>
      <x:c r="F131" t="str">
        <x:f>IF(OR(C131&gt;=30,D131&lt;1.1,E131&gt;5),"Red",IF(OR(C131&gt;0,D131&lt;1.3,E131&gt;4),"Amber","Green"))</x:f>
        <x:v>Green</x:v>
      </x:c>
      <x:c r="G131" t="str">
        <x:f>IF(C131&gt;=30,"DPD deterioration",IF(D131&lt;1.1,"DSCR weakness",IF(E131&gt;5,"High leverage","Normal")))</x:f>
        <x:v>Normal</x:v>
      </x:c>
    </x:row>
    <x:row r="132">
      <x:c r="A132" t="str">
        <x:f>'02_Loan_Portfolio'!A130</x:f>
        <x:v>LN00129</x:v>
      </x:c>
      <x:c r="B132" t="str">
        <x:f>'02_Loan_Portfolio'!E130</x:f>
        <x:v>BB</x:v>
      </x:c>
      <x:c r="C132" t="n">
        <x:f>'02_Loan_Portfolio'!L130</x:f>
        <x:v>0</x:v>
      </x:c>
      <x:c r="D132" t="n">
        <x:f>'02_Loan_Portfolio'!J130</x:f>
        <x:v>1.778</x:v>
      </x:c>
      <x:c r="E132" t="n">
        <x:f>'02_Loan_Portfolio'!K130</x:f>
        <x:v>2.765</x:v>
      </x:c>
      <x:c r="F132" t="str">
        <x:f>IF(OR(C132&gt;=30,D132&lt;1.1,E132&gt;5),"Red",IF(OR(C132&gt;0,D132&lt;1.3,E132&gt;4),"Amber","Green"))</x:f>
        <x:v>Green</x:v>
      </x:c>
      <x:c r="G132" t="str">
        <x:f>IF(C132&gt;=30,"DPD deterioration",IF(D132&lt;1.1,"DSCR weakness",IF(E132&gt;5,"High leverage","Normal")))</x:f>
        <x:v>Normal</x:v>
      </x:c>
    </x:row>
    <x:row r="133">
      <x:c r="A133" t="str">
        <x:f>'02_Loan_Portfolio'!A131</x:f>
        <x:v>LN00130</x:v>
      </x:c>
      <x:c r="B133" t="str">
        <x:f>'02_Loan_Portfolio'!E131</x:f>
        <x:v>BBB</x:v>
      </x:c>
      <x:c r="C133" t="n">
        <x:f>'02_Loan_Portfolio'!L131</x:f>
        <x:v>0</x:v>
      </x:c>
      <x:c r="D133" t="n">
        <x:f>'02_Loan_Portfolio'!J131</x:f>
        <x:v>2.055</x:v>
      </x:c>
      <x:c r="E133" t="n">
        <x:f>'02_Loan_Portfolio'!K131</x:f>
        <x:v>3.467</x:v>
      </x:c>
      <x:c r="F133" t="str">
        <x:f>IF(OR(C133&gt;=30,D133&lt;1.1,E133&gt;5),"Red",IF(OR(C133&gt;0,D133&lt;1.3,E133&gt;4),"Amber","Green"))</x:f>
        <x:v>Green</x:v>
      </x:c>
      <x:c r="G133" t="str">
        <x:f>IF(C133&gt;=30,"DPD deterioration",IF(D133&lt;1.1,"DSCR weakness",IF(E133&gt;5,"High leverage","Normal")))</x:f>
        <x:v>Normal</x:v>
      </x:c>
    </x:row>
    <x:row r="134">
      <x:c r="A134" t="str">
        <x:f>'02_Loan_Portfolio'!A132</x:f>
        <x:v>LN00131</x:v>
      </x:c>
      <x:c r="B134" t="str">
        <x:f>'02_Loan_Portfolio'!E132</x:f>
        <x:v>A</x:v>
      </x:c>
      <x:c r="C134" t="n">
        <x:f>'02_Loan_Portfolio'!L132</x:f>
        <x:v>15</x:v>
      </x:c>
      <x:c r="D134" t="n">
        <x:f>'02_Loan_Portfolio'!J132</x:f>
        <x:v>1.883</x:v>
      </x:c>
      <x:c r="E134" t="n">
        <x:f>'02_Loan_Portfolio'!K132</x:f>
        <x:v>4.551</x:v>
      </x:c>
      <x:c r="F134" t="str">
        <x:f>IF(OR(C134&gt;=30,D134&lt;1.1,E134&gt;5),"Red",IF(OR(C134&gt;0,D134&lt;1.3,E134&gt;4),"Amber","Green"))</x:f>
        <x:v>Amber</x:v>
      </x:c>
      <x:c r="G134" t="str">
        <x:f>IF(C134&gt;=30,"DPD deterioration",IF(D134&lt;1.1,"DSCR weakness",IF(E134&gt;5,"High leverage","Normal")))</x:f>
        <x:v>Normal</x:v>
      </x:c>
    </x:row>
    <x:row r="135">
      <x:c r="A135" t="str">
        <x:f>'02_Loan_Portfolio'!A133</x:f>
        <x:v>LN00132</x:v>
      </x:c>
      <x:c r="B135" t="str">
        <x:f>'02_Loan_Portfolio'!E133</x:f>
        <x:v>B</x:v>
      </x:c>
      <x:c r="C135" t="n">
        <x:f>'02_Loan_Portfolio'!L133</x:f>
        <x:v>0</x:v>
      </x:c>
      <x:c r="D135" t="n">
        <x:f>'02_Loan_Portfolio'!J133</x:f>
        <x:v>2.033</x:v>
      </x:c>
      <x:c r="E135" t="n">
        <x:f>'02_Loan_Portfolio'!K133</x:f>
        <x:v>2.861</x:v>
      </x:c>
      <x:c r="F135" t="str">
        <x:f>IF(OR(C135&gt;=30,D135&lt;1.1,E135&gt;5),"Red",IF(OR(C135&gt;0,D135&lt;1.3,E135&gt;4),"Amber","Green"))</x:f>
        <x:v>Green</x:v>
      </x:c>
      <x:c r="G135" t="str">
        <x:f>IF(C135&gt;=30,"DPD deterioration",IF(D135&lt;1.1,"DSCR weakness",IF(E135&gt;5,"High leverage","Normal")))</x:f>
        <x:v>Normal</x:v>
      </x:c>
    </x:row>
    <x:row r="136">
      <x:c r="A136" t="str">
        <x:f>'02_Loan_Portfolio'!A134</x:f>
        <x:v>LN00133</x:v>
      </x:c>
      <x:c r="B136" t="str">
        <x:f>'02_Loan_Portfolio'!E134</x:f>
        <x:v>A</x:v>
      </x:c>
      <x:c r="C136" t="n">
        <x:f>'02_Loan_Portfolio'!L134</x:f>
        <x:v>5</x:v>
      </x:c>
      <x:c r="D136" t="n">
        <x:f>'02_Loan_Portfolio'!J134</x:f>
        <x:v>1.863</x:v>
      </x:c>
      <x:c r="E136" t="n">
        <x:f>'02_Loan_Portfolio'!K134</x:f>
        <x:v>4.18</x:v>
      </x:c>
      <x:c r="F136" t="str">
        <x:f>IF(OR(C136&gt;=30,D136&lt;1.1,E136&gt;5),"Red",IF(OR(C136&gt;0,D136&lt;1.3,E136&gt;4),"Amber","Green"))</x:f>
        <x:v>Amber</x:v>
      </x:c>
      <x:c r="G136" t="str">
        <x:f>IF(C136&gt;=30,"DPD deterioration",IF(D136&lt;1.1,"DSCR weakness",IF(E136&gt;5,"High leverage","Normal")))</x:f>
        <x:v>Normal</x:v>
      </x:c>
    </x:row>
    <x:row r="137">
      <x:c r="A137" t="str">
        <x:f>'02_Loan_Portfolio'!A135</x:f>
        <x:v>LN00134</x:v>
      </x:c>
      <x:c r="B137" t="str">
        <x:f>'02_Loan_Portfolio'!E135</x:f>
        <x:v>AAA</x:v>
      </x:c>
      <x:c r="C137" t="n">
        <x:f>'02_Loan_Portfolio'!L135</x:f>
        <x:v>65</x:v>
      </x:c>
      <x:c r="D137" t="n">
        <x:f>'02_Loan_Portfolio'!J135</x:f>
        <x:v>3.423</x:v>
      </x:c>
      <x:c r="E137" t="n">
        <x:f>'02_Loan_Portfolio'!K135</x:f>
        <x:v>4.95</x:v>
      </x:c>
      <x:c r="F137" t="str">
        <x:f>IF(OR(C137&gt;=30,D137&lt;1.1,E137&gt;5),"Red",IF(OR(C137&gt;0,D137&lt;1.3,E137&gt;4),"Amber","Green"))</x:f>
        <x:v>Red</x:v>
      </x:c>
      <x:c r="G137" t="str">
        <x:f>IF(C137&gt;=30,"DPD deterioration",IF(D137&lt;1.1,"DSCR weakness",IF(E137&gt;5,"High leverage","Normal")))</x:f>
        <x:v>DPD deterioration</x:v>
      </x:c>
    </x:row>
    <x:row r="138">
      <x:c r="A138" t="str">
        <x:f>'02_Loan_Portfolio'!A136</x:f>
        <x:v>LN00135</x:v>
      </x:c>
      <x:c r="B138" t="str">
        <x:f>'02_Loan_Portfolio'!E136</x:f>
        <x:v>BB</x:v>
      </x:c>
      <x:c r="C138" t="n">
        <x:f>'02_Loan_Portfolio'!L136</x:f>
        <x:v>0</x:v>
      </x:c>
      <x:c r="D138" t="n">
        <x:f>'02_Loan_Portfolio'!J136</x:f>
        <x:v>1.505</x:v>
      </x:c>
      <x:c r="E138" t="n">
        <x:f>'02_Loan_Portfolio'!K136</x:f>
        <x:v>2.354</x:v>
      </x:c>
      <x:c r="F138" t="str">
        <x:f>IF(OR(C138&gt;=30,D138&lt;1.1,E138&gt;5),"Red",IF(OR(C138&gt;0,D138&lt;1.3,E138&gt;4),"Amber","Green"))</x:f>
        <x:v>Green</x:v>
      </x:c>
      <x:c r="G138" t="str">
        <x:f>IF(C138&gt;=30,"DPD deterioration",IF(D138&lt;1.1,"DSCR weakness",IF(E138&gt;5,"High leverage","Normal")))</x:f>
        <x:v>Normal</x:v>
      </x:c>
    </x:row>
    <x:row r="139">
      <x:c r="A139" t="str">
        <x:f>'02_Loan_Portfolio'!A137</x:f>
        <x:v>LN00136</x:v>
      </x:c>
      <x:c r="B139" t="str">
        <x:f>'02_Loan_Portfolio'!E137</x:f>
        <x:v>BB</x:v>
      </x:c>
      <x:c r="C139" t="n">
        <x:f>'02_Loan_Portfolio'!L137</x:f>
        <x:v>0</x:v>
      </x:c>
      <x:c r="D139" t="n">
        <x:f>'02_Loan_Portfolio'!J137</x:f>
        <x:v>1.688</x:v>
      </x:c>
      <x:c r="E139" t="n">
        <x:f>'02_Loan_Portfolio'!K137</x:f>
        <x:v>1.757</x:v>
      </x:c>
      <x:c r="F139" t="str">
        <x:f>IF(OR(C139&gt;=30,D139&lt;1.1,E139&gt;5),"Red",IF(OR(C139&gt;0,D139&lt;1.3,E139&gt;4),"Amber","Green"))</x:f>
        <x:v>Green</x:v>
      </x:c>
      <x:c r="G139" t="str">
        <x:f>IF(C139&gt;=30,"DPD deterioration",IF(D139&lt;1.1,"DSCR weakness",IF(E139&gt;5,"High leverage","Normal")))</x:f>
        <x:v>Normal</x:v>
      </x:c>
    </x:row>
    <x:row r="140">
      <x:c r="A140" t="str">
        <x:f>'02_Loan_Portfolio'!A138</x:f>
        <x:v>LN00137</x:v>
      </x:c>
      <x:c r="B140" t="str">
        <x:f>'02_Loan_Portfolio'!E138</x:f>
        <x:v>B</x:v>
      </x:c>
      <x:c r="C140" t="n">
        <x:f>'02_Loan_Portfolio'!L138</x:f>
        <x:v>0</x:v>
      </x:c>
      <x:c r="D140" t="n">
        <x:f>'02_Loan_Portfolio'!J138</x:f>
        <x:v>1.885</x:v>
      </x:c>
      <x:c r="E140" t="n">
        <x:f>'02_Loan_Portfolio'!K138</x:f>
        <x:v>1.417</x:v>
      </x:c>
      <x:c r="F140" t="str">
        <x:f>IF(OR(C140&gt;=30,D140&lt;1.1,E140&gt;5),"Red",IF(OR(C140&gt;0,D140&lt;1.3,E140&gt;4),"Amber","Green"))</x:f>
        <x:v>Green</x:v>
      </x:c>
      <x:c r="G140" t="str">
        <x:f>IF(C140&gt;=30,"DPD deterioration",IF(D140&lt;1.1,"DSCR weakness",IF(E140&gt;5,"High leverage","Normal")))</x:f>
        <x:v>Normal</x:v>
      </x:c>
    </x:row>
    <x:row r="141">
      <x:c r="A141" t="str">
        <x:f>'02_Loan_Portfolio'!A139</x:f>
        <x:v>LN00138</x:v>
      </x:c>
      <x:c r="B141" t="str">
        <x:f>'02_Loan_Portfolio'!E139</x:f>
        <x:v>BB</x:v>
      </x:c>
      <x:c r="C141" t="n">
        <x:f>'02_Loan_Portfolio'!L139</x:f>
        <x:v>0</x:v>
      </x:c>
      <x:c r="D141" t="n">
        <x:f>'02_Loan_Portfolio'!J139</x:f>
        <x:v>1.129</x:v>
      </x:c>
      <x:c r="E141" t="n">
        <x:f>'02_Loan_Portfolio'!K139</x:f>
        <x:v>1.993</x:v>
      </x:c>
      <x:c r="F141" t="str">
        <x:f>IF(OR(C141&gt;=30,D141&lt;1.1,E141&gt;5),"Red",IF(OR(C141&gt;0,D141&lt;1.3,E141&gt;4),"Amber","Green"))</x:f>
        <x:v>Amber</x:v>
      </x:c>
      <x:c r="G141" t="str">
        <x:f>IF(C141&gt;=30,"DPD deterioration",IF(D141&lt;1.1,"DSCR weakness",IF(E141&gt;5,"High leverage","Normal")))</x:f>
        <x:v>Normal</x:v>
      </x:c>
    </x:row>
    <x:row r="142">
      <x:c r="A142" t="str">
        <x:f>'02_Loan_Portfolio'!A140</x:f>
        <x:v>LN00139</x:v>
      </x:c>
      <x:c r="B142" t="str">
        <x:f>'02_Loan_Portfolio'!E140</x:f>
        <x:v>AA</x:v>
      </x:c>
      <x:c r="C142" t="n">
        <x:f>'02_Loan_Portfolio'!L140</x:f>
        <x:v>5</x:v>
      </x:c>
      <x:c r="D142" t="n">
        <x:f>'02_Loan_Portfolio'!J140</x:f>
        <x:v>1.741</x:v>
      </x:c>
      <x:c r="E142" t="n">
        <x:f>'02_Loan_Portfolio'!K140</x:f>
        <x:v>2.076</x:v>
      </x:c>
      <x:c r="F142" t="str">
        <x:f>IF(OR(C142&gt;=30,D142&lt;1.1,E142&gt;5),"Red",IF(OR(C142&gt;0,D142&lt;1.3,E142&gt;4),"Amber","Green"))</x:f>
        <x:v>Amber</x:v>
      </x:c>
      <x:c r="G142" t="str">
        <x:f>IF(C142&gt;=30,"DPD deterioration",IF(D142&lt;1.1,"DSCR weakness",IF(E142&gt;5,"High leverage","Normal")))</x:f>
        <x:v>Normal</x:v>
      </x:c>
    </x:row>
    <x:row r="143">
      <x:c r="A143" t="str">
        <x:f>'02_Loan_Portfolio'!A141</x:f>
        <x:v>LN00140</x:v>
      </x:c>
      <x:c r="B143" t="str">
        <x:f>'02_Loan_Portfolio'!E141</x:f>
        <x:v>BB</x:v>
      </x:c>
      <x:c r="C143" t="n">
        <x:f>'02_Loan_Portfolio'!L141</x:f>
        <x:v>0</x:v>
      </x:c>
      <x:c r="D143" t="n">
        <x:f>'02_Loan_Portfolio'!J141</x:f>
        <x:v>1.616</x:v>
      </x:c>
      <x:c r="E143" t="n">
        <x:f>'02_Loan_Portfolio'!K141</x:f>
        <x:v>3.311</x:v>
      </x:c>
      <x:c r="F143" t="str">
        <x:f>IF(OR(C143&gt;=30,D143&lt;1.1,E143&gt;5),"Red",IF(OR(C143&gt;0,D143&lt;1.3,E143&gt;4),"Amber","Green"))</x:f>
        <x:v>Green</x:v>
      </x:c>
      <x:c r="G143" t="str">
        <x:f>IF(C143&gt;=30,"DPD deterioration",IF(D143&lt;1.1,"DSCR weakness",IF(E143&gt;5,"High leverage","Normal")))</x:f>
        <x:v>Normal</x:v>
      </x:c>
    </x:row>
    <x:row r="144">
      <x:c r="A144" t="str">
        <x:f>'02_Loan_Portfolio'!A142</x:f>
        <x:v>LN00141</x:v>
      </x:c>
      <x:c r="B144" t="str">
        <x:f>'02_Loan_Portfolio'!E142</x:f>
        <x:v>AA</x:v>
      </x:c>
      <x:c r="C144" t="n">
        <x:f>'02_Loan_Portfolio'!L142</x:f>
        <x:v>15</x:v>
      </x:c>
      <x:c r="D144" t="n">
        <x:f>'02_Loan_Portfolio'!J142</x:f>
        <x:v>2.205</x:v>
      </x:c>
      <x:c r="E144" t="n">
        <x:f>'02_Loan_Portfolio'!K142</x:f>
        <x:v>2.322</x:v>
      </x:c>
      <x:c r="F144" t="str">
        <x:f>IF(OR(C144&gt;=30,D144&lt;1.1,E144&gt;5),"Red",IF(OR(C144&gt;0,D144&lt;1.3,E144&gt;4),"Amber","Green"))</x:f>
        <x:v>Amber</x:v>
      </x:c>
      <x:c r="G144" t="str">
        <x:f>IF(C144&gt;=30,"DPD deterioration",IF(D144&lt;1.1,"DSCR weakness",IF(E144&gt;5,"High leverage","Normal")))</x:f>
        <x:v>Normal</x:v>
      </x:c>
    </x:row>
    <x:row r="145">
      <x:c r="A145" t="str">
        <x:f>'02_Loan_Portfolio'!A143</x:f>
        <x:v>LN00142</x:v>
      </x:c>
      <x:c r="B145" t="str">
        <x:f>'02_Loan_Portfolio'!E143</x:f>
        <x:v>B</x:v>
      </x:c>
      <x:c r="C145" t="n">
        <x:f>'02_Loan_Portfolio'!L143</x:f>
        <x:v>0</x:v>
      </x:c>
      <x:c r="D145" t="n">
        <x:f>'02_Loan_Portfolio'!J143</x:f>
        <x:v>2.067</x:v>
      </x:c>
      <x:c r="E145" t="n">
        <x:f>'02_Loan_Portfolio'!K143</x:f>
        <x:v>3.035</x:v>
      </x:c>
      <x:c r="F145" t="str">
        <x:f>IF(OR(C145&gt;=30,D145&lt;1.1,E145&gt;5),"Red",IF(OR(C145&gt;0,D145&lt;1.3,E145&gt;4),"Amber","Green"))</x:f>
        <x:v>Green</x:v>
      </x:c>
      <x:c r="G145" t="str">
        <x:f>IF(C145&gt;=30,"DPD deterioration",IF(D145&lt;1.1,"DSCR weakness",IF(E145&gt;5,"High leverage","Normal")))</x:f>
        <x:v>Normal</x:v>
      </x:c>
    </x:row>
    <x:row r="146">
      <x:c r="A146" t="str">
        <x:f>'02_Loan_Portfolio'!A144</x:f>
        <x:v>LN00143</x:v>
      </x:c>
      <x:c r="B146" t="str">
        <x:f>'02_Loan_Portfolio'!E144</x:f>
        <x:v>BBB</x:v>
      </x:c>
      <x:c r="C146" t="n">
        <x:f>'02_Loan_Portfolio'!L144</x:f>
        <x:v>15</x:v>
      </x:c>
      <x:c r="D146" t="n">
        <x:f>'02_Loan_Portfolio'!J144</x:f>
        <x:v>2.458</x:v>
      </x:c>
      <x:c r="E146" t="n">
        <x:f>'02_Loan_Portfolio'!K144</x:f>
        <x:v>2.562</x:v>
      </x:c>
      <x:c r="F146" t="str">
        <x:f>IF(OR(C146&gt;=30,D146&lt;1.1,E146&gt;5),"Red",IF(OR(C146&gt;0,D146&lt;1.3,E146&gt;4),"Amber","Green"))</x:f>
        <x:v>Amber</x:v>
      </x:c>
      <x:c r="G146" t="str">
        <x:f>IF(C146&gt;=30,"DPD deterioration",IF(D146&lt;1.1,"DSCR weakness",IF(E146&gt;5,"High leverage","Normal")))</x:f>
        <x:v>Normal</x:v>
      </x:c>
    </x:row>
    <x:row r="147">
      <x:c r="A147" t="str">
        <x:f>'02_Loan_Portfolio'!A145</x:f>
        <x:v>LN00144</x:v>
      </x:c>
      <x:c r="B147" t="str">
        <x:f>'02_Loan_Portfolio'!E145</x:f>
        <x:v>BB</x:v>
      </x:c>
      <x:c r="C147" t="n">
        <x:f>'02_Loan_Portfolio'!L145</x:f>
        <x:v>0</x:v>
      </x:c>
      <x:c r="D147" t="n">
        <x:f>'02_Loan_Portfolio'!J145</x:f>
        <x:v>1.042</x:v>
      </x:c>
      <x:c r="E147" t="n">
        <x:f>'02_Loan_Portfolio'!K145</x:f>
        <x:v>2.075</x:v>
      </x:c>
      <x:c r="F147" t="str">
        <x:f>IF(OR(C147&gt;=30,D147&lt;1.1,E147&gt;5),"Red",IF(OR(C147&gt;0,D147&lt;1.3,E147&gt;4),"Amber","Green"))</x:f>
        <x:v>Red</x:v>
      </x:c>
      <x:c r="G147" t="str">
        <x:f>IF(C147&gt;=30,"DPD deterioration",IF(D147&lt;1.1,"DSCR weakness",IF(E147&gt;5,"High leverage","Normal")))</x:f>
        <x:v>DSCR weakness</x:v>
      </x:c>
    </x:row>
    <x:row r="148">
      <x:c r="A148" t="str">
        <x:f>'02_Loan_Portfolio'!A146</x:f>
        <x:v>LN00145</x:v>
      </x:c>
      <x:c r="B148" t="str">
        <x:f>'02_Loan_Portfolio'!E146</x:f>
        <x:v>CCC</x:v>
      </x:c>
      <x:c r="C148" t="n">
        <x:f>'02_Loan_Portfolio'!L146</x:f>
        <x:v>65</x:v>
      </x:c>
      <x:c r="D148" t="n">
        <x:f>'02_Loan_Portfolio'!J146</x:f>
        <x:v>1.82</x:v>
      </x:c>
      <x:c r="E148" t="n">
        <x:f>'02_Loan_Portfolio'!K146</x:f>
        <x:v>3.438</x:v>
      </x:c>
      <x:c r="F148" t="str">
        <x:f>IF(OR(C148&gt;=30,D148&lt;1.1,E148&gt;5),"Red",IF(OR(C148&gt;0,D148&lt;1.3,E148&gt;4),"Amber","Green"))</x:f>
        <x:v>Red</x:v>
      </x:c>
      <x:c r="G148" t="str">
        <x:f>IF(C148&gt;=30,"DPD deterioration",IF(D148&lt;1.1,"DSCR weakness",IF(E148&gt;5,"High leverage","Normal")))</x:f>
        <x:v>DPD deterioration</x:v>
      </x:c>
    </x:row>
    <x:row r="149">
      <x:c r="A149" t="str">
        <x:f>'02_Loan_Portfolio'!A147</x:f>
        <x:v>LN00146</x:v>
      </x:c>
      <x:c r="B149" t="str">
        <x:f>'02_Loan_Portfolio'!E147</x:f>
        <x:v>AA</x:v>
      </x:c>
      <x:c r="C149" t="n">
        <x:f>'02_Loan_Portfolio'!L147</x:f>
        <x:v>0</x:v>
      </x:c>
      <x:c r="D149" t="n">
        <x:f>'02_Loan_Portfolio'!J147</x:f>
        <x:v>0.899</x:v>
      </x:c>
      <x:c r="E149" t="n">
        <x:f>'02_Loan_Portfolio'!K147</x:f>
        <x:v>4.608</x:v>
      </x:c>
      <x:c r="F149" t="str">
        <x:f>IF(OR(C149&gt;=30,D149&lt;1.1,E149&gt;5),"Red",IF(OR(C149&gt;0,D149&lt;1.3,E149&gt;4),"Amber","Green"))</x:f>
        <x:v>Red</x:v>
      </x:c>
      <x:c r="G149" t="str">
        <x:f>IF(C149&gt;=30,"DPD deterioration",IF(D149&lt;1.1,"DSCR weakness",IF(E149&gt;5,"High leverage","Normal")))</x:f>
        <x:v>DSCR weakness</x:v>
      </x:c>
    </x:row>
    <x:row r="150">
      <x:c r="A150" t="str">
        <x:f>'02_Loan_Portfolio'!A148</x:f>
        <x:v>LN00147</x:v>
      </x:c>
      <x:c r="B150" t="str">
        <x:f>'02_Loan_Portfolio'!E148</x:f>
        <x:v>BB</x:v>
      </x:c>
      <x:c r="C150" t="n">
        <x:f>'02_Loan_Portfolio'!L148</x:f>
        <x:v>0</x:v>
      </x:c>
      <x:c r="D150" t="n">
        <x:f>'02_Loan_Portfolio'!J148</x:f>
        <x:v>1.686</x:v>
      </x:c>
      <x:c r="E150" t="n">
        <x:f>'02_Loan_Portfolio'!K148</x:f>
        <x:v>5.428</x:v>
      </x:c>
      <x:c r="F150" t="str">
        <x:f>IF(OR(C150&gt;=30,D150&lt;1.1,E150&gt;5),"Red",IF(OR(C150&gt;0,D150&lt;1.3,E150&gt;4),"Amber","Green"))</x:f>
        <x:v>Red</x:v>
      </x:c>
      <x:c r="G150" t="str">
        <x:f>IF(C150&gt;=30,"DPD deterioration",IF(D150&lt;1.1,"DSCR weakness",IF(E150&gt;5,"High leverage","Normal")))</x:f>
        <x:v>High leverage</x:v>
      </x:c>
    </x:row>
    <x:row r="151">
      <x:c r="A151" t="str">
        <x:f>'02_Loan_Portfolio'!A149</x:f>
        <x:v>LN00148</x:v>
      </x:c>
      <x:c r="B151" t="str">
        <x:f>'02_Loan_Portfolio'!E149</x:f>
        <x:v>B</x:v>
      </x:c>
      <x:c r="C151" t="n">
        <x:f>'02_Loan_Portfolio'!L149</x:f>
        <x:v>0</x:v>
      </x:c>
      <x:c r="D151" t="n">
        <x:f>'02_Loan_Portfolio'!J149</x:f>
        <x:v>1.973</x:v>
      </x:c>
      <x:c r="E151" t="n">
        <x:f>'02_Loan_Portfolio'!K149</x:f>
        <x:v>2.187</x:v>
      </x:c>
      <x:c r="F151" t="str">
        <x:f>IF(OR(C151&gt;=30,D151&lt;1.1,E151&gt;5),"Red",IF(OR(C151&gt;0,D151&lt;1.3,E151&gt;4),"Amber","Green"))</x:f>
        <x:v>Green</x:v>
      </x:c>
      <x:c r="G151" t="str">
        <x:f>IF(C151&gt;=30,"DPD deterioration",IF(D151&lt;1.1,"DSCR weakness",IF(E151&gt;5,"High leverage","Normal")))</x:f>
        <x:v>Normal</x:v>
      </x:c>
    </x:row>
    <x:row r="152">
      <x:c r="A152" t="str">
        <x:f>'02_Loan_Portfolio'!A150</x:f>
        <x:v>LN00149</x:v>
      </x:c>
      <x:c r="B152" t="str">
        <x:f>'02_Loan_Portfolio'!E150</x:f>
        <x:v>BB</x:v>
      </x:c>
      <x:c r="C152" t="n">
        <x:f>'02_Loan_Portfolio'!L150</x:f>
        <x:v>0</x:v>
      </x:c>
      <x:c r="D152" t="n">
        <x:f>'02_Loan_Portfolio'!J150</x:f>
        <x:v>2.28</x:v>
      </x:c>
      <x:c r="E152" t="n">
        <x:f>'02_Loan_Portfolio'!K150</x:f>
        <x:v>3.381</x:v>
      </x:c>
      <x:c r="F152" t="str">
        <x:f>IF(OR(C152&gt;=30,D152&lt;1.1,E152&gt;5),"Red",IF(OR(C152&gt;0,D152&lt;1.3,E152&gt;4),"Amber","Green"))</x:f>
        <x:v>Green</x:v>
      </x:c>
      <x:c r="G152" t="str">
        <x:f>IF(C152&gt;=30,"DPD deterioration",IF(D152&lt;1.1,"DSCR weakness",IF(E152&gt;5,"High leverage","Normal")))</x:f>
        <x:v>Normal</x:v>
      </x:c>
    </x:row>
    <x:row r="153">
      <x:c r="A153" t="str">
        <x:f>'02_Loan_Portfolio'!A151</x:f>
        <x:v>LN00150</x:v>
      </x:c>
      <x:c r="B153" t="str">
        <x:f>'02_Loan_Portfolio'!E151</x:f>
        <x:v>B</x:v>
      </x:c>
      <x:c r="C153" t="n">
        <x:f>'02_Loan_Portfolio'!L151</x:f>
        <x:v>0</x:v>
      </x:c>
      <x:c r="D153" t="n">
        <x:f>'02_Loan_Portfolio'!J151</x:f>
        <x:v>2.007</x:v>
      </x:c>
      <x:c r="E153" t="n">
        <x:f>'02_Loan_Portfolio'!K151</x:f>
        <x:v>3.359</x:v>
      </x:c>
      <x:c r="F153" t="str">
        <x:f>IF(OR(C153&gt;=30,D153&lt;1.1,E153&gt;5),"Red",IF(OR(C153&gt;0,D153&lt;1.3,E153&gt;4),"Amber","Green"))</x:f>
        <x:v>Green</x:v>
      </x:c>
      <x:c r="G153" t="str">
        <x:f>IF(C153&gt;=30,"DPD deterioration",IF(D153&lt;1.1,"DSCR weakness",IF(E153&gt;5,"High leverage","Normal")))</x:f>
        <x:v>Normal</x:v>
      </x:c>
    </x:row>
    <x:row r="154">
      <x:c r="A154" t="str">
        <x:f>'02_Loan_Portfolio'!A152</x:f>
        <x:v>LN00151</x:v>
      </x:c>
      <x:c r="B154" t="str">
        <x:f>'02_Loan_Portfolio'!E152</x:f>
        <x:v>CCC</x:v>
      </x:c>
      <x:c r="C154" t="n">
        <x:f>'02_Loan_Portfolio'!L152</x:f>
        <x:v>0</x:v>
      </x:c>
      <x:c r="D154" t="n">
        <x:f>'02_Loan_Portfolio'!J152</x:f>
        <x:v>2.475</x:v>
      </x:c>
      <x:c r="E154" t="n">
        <x:f>'02_Loan_Portfolio'!K152</x:f>
        <x:v>0.711</x:v>
      </x:c>
      <x:c r="F154" t="str">
        <x:f>IF(OR(C154&gt;=30,D154&lt;1.1,E154&gt;5),"Red",IF(OR(C154&gt;0,D154&lt;1.3,E154&gt;4),"Amber","Green"))</x:f>
        <x:v>Green</x:v>
      </x:c>
      <x:c r="G154" t="str">
        <x:f>IF(C154&gt;=30,"DPD deterioration",IF(D154&lt;1.1,"DSCR weakness",IF(E154&gt;5,"High leverage","Normal")))</x:f>
        <x:v>Normal</x:v>
      </x:c>
    </x:row>
    <x:row r="155">
      <x:c r="A155" t="str">
        <x:f>'02_Loan_Portfolio'!A153</x:f>
        <x:v>LN00152</x:v>
      </x:c>
      <x:c r="B155" t="str">
        <x:f>'02_Loan_Portfolio'!E153</x:f>
        <x:v>BB</x:v>
      </x:c>
      <x:c r="C155" t="n">
        <x:f>'02_Loan_Portfolio'!L153</x:f>
        <x:v>15</x:v>
      </x:c>
      <x:c r="D155" t="n">
        <x:f>'02_Loan_Portfolio'!J153</x:f>
        <x:v>1.293</x:v>
      </x:c>
      <x:c r="E155" t="n">
        <x:f>'02_Loan_Portfolio'!K153</x:f>
        <x:v>5.219</x:v>
      </x:c>
      <x:c r="F155" t="str">
        <x:f>IF(OR(C155&gt;=30,D155&lt;1.1,E155&gt;5),"Red",IF(OR(C155&gt;0,D155&lt;1.3,E155&gt;4),"Amber","Green"))</x:f>
        <x:v>Red</x:v>
      </x:c>
      <x:c r="G155" t="str">
        <x:f>IF(C155&gt;=30,"DPD deterioration",IF(D155&lt;1.1,"DSCR weakness",IF(E155&gt;5,"High leverage","Normal")))</x:f>
        <x:v>High leverage</x:v>
      </x:c>
    </x:row>
    <x:row r="156">
      <x:c r="A156" t="str">
        <x:f>'02_Loan_Portfolio'!A154</x:f>
        <x:v>LN00153</x:v>
      </x:c>
      <x:c r="B156" t="str">
        <x:f>'02_Loan_Portfolio'!E154</x:f>
        <x:v>BBB</x:v>
      </x:c>
      <x:c r="C156" t="n">
        <x:f>'02_Loan_Portfolio'!L154</x:f>
        <x:v>0</x:v>
      </x:c>
      <x:c r="D156" t="n">
        <x:f>'02_Loan_Portfolio'!J154</x:f>
        <x:v>1.603</x:v>
      </x:c>
      <x:c r="E156" t="n">
        <x:f>'02_Loan_Portfolio'!K154</x:f>
        <x:v>1.36</x:v>
      </x:c>
      <x:c r="F156" t="str">
        <x:f>IF(OR(C156&gt;=30,D156&lt;1.1,E156&gt;5),"Red",IF(OR(C156&gt;0,D156&lt;1.3,E156&gt;4),"Amber","Green"))</x:f>
        <x:v>Green</x:v>
      </x:c>
      <x:c r="G156" t="str">
        <x:f>IF(C156&gt;=30,"DPD deterioration",IF(D156&lt;1.1,"DSCR weakness",IF(E156&gt;5,"High leverage","Normal")))</x:f>
        <x:v>Normal</x:v>
      </x:c>
    </x:row>
    <x:row r="157">
      <x:c r="A157" t="str">
        <x:f>'02_Loan_Portfolio'!A155</x:f>
        <x:v>LN00154</x:v>
      </x:c>
      <x:c r="B157" t="str">
        <x:f>'02_Loan_Portfolio'!E155</x:f>
        <x:v>BBB</x:v>
      </x:c>
      <x:c r="C157" t="n">
        <x:f>'02_Loan_Portfolio'!L155</x:f>
        <x:v>0</x:v>
      </x:c>
      <x:c r="D157" t="n">
        <x:f>'02_Loan_Portfolio'!J155</x:f>
        <x:v>1.764</x:v>
      </x:c>
      <x:c r="E157" t="n">
        <x:f>'02_Loan_Portfolio'!K155</x:f>
        <x:v>3.941</x:v>
      </x:c>
      <x:c r="F157" t="str">
        <x:f>IF(OR(C157&gt;=30,D157&lt;1.1,E157&gt;5),"Red",IF(OR(C157&gt;0,D157&lt;1.3,E157&gt;4),"Amber","Green"))</x:f>
        <x:v>Green</x:v>
      </x:c>
      <x:c r="G157" t="str">
        <x:f>IF(C157&gt;=30,"DPD deterioration",IF(D157&lt;1.1,"DSCR weakness",IF(E157&gt;5,"High leverage","Normal")))</x:f>
        <x:v>Normal</x:v>
      </x:c>
    </x:row>
    <x:row r="158">
      <x:c r="A158" t="str">
        <x:f>'02_Loan_Portfolio'!A156</x:f>
        <x:v>LN00155</x:v>
      </x:c>
      <x:c r="B158" t="str">
        <x:f>'02_Loan_Portfolio'!E156</x:f>
        <x:v>A</x:v>
      </x:c>
      <x:c r="C158" t="n">
        <x:f>'02_Loan_Portfolio'!L156</x:f>
        <x:v>0</x:v>
      </x:c>
      <x:c r="D158" t="n">
        <x:f>'02_Loan_Portfolio'!J156</x:f>
        <x:v>1.95</x:v>
      </x:c>
      <x:c r="E158" t="n">
        <x:f>'02_Loan_Portfolio'!K156</x:f>
        <x:v>5.671</x:v>
      </x:c>
      <x:c r="F158" t="str">
        <x:f>IF(OR(C158&gt;=30,D158&lt;1.1,E158&gt;5),"Red",IF(OR(C158&gt;0,D158&lt;1.3,E158&gt;4),"Amber","Green"))</x:f>
        <x:v>Red</x:v>
      </x:c>
      <x:c r="G158" t="str">
        <x:f>IF(C158&gt;=30,"DPD deterioration",IF(D158&lt;1.1,"DSCR weakness",IF(E158&gt;5,"High leverage","Normal")))</x:f>
        <x:v>High leverage</x:v>
      </x:c>
    </x:row>
    <x:row r="159">
      <x:c r="A159" t="str">
        <x:f>'02_Loan_Portfolio'!A157</x:f>
        <x:v>LN00156</x:v>
      </x:c>
      <x:c r="B159" t="str">
        <x:f>'02_Loan_Portfolio'!E157</x:f>
        <x:v>BBB</x:v>
      </x:c>
      <x:c r="C159" t="n">
        <x:f>'02_Loan_Portfolio'!L157</x:f>
        <x:v>0</x:v>
      </x:c>
      <x:c r="D159" t="n">
        <x:f>'02_Loan_Portfolio'!J157</x:f>
        <x:v>1.906</x:v>
      </x:c>
      <x:c r="E159" t="n">
        <x:f>'02_Loan_Portfolio'!K157</x:f>
        <x:v>1.903</x:v>
      </x:c>
      <x:c r="F159" t="str">
        <x:f>IF(OR(C159&gt;=30,D159&lt;1.1,E159&gt;5),"Red",IF(OR(C159&gt;0,D159&lt;1.3,E159&gt;4),"Amber","Green"))</x:f>
        <x:v>Green</x:v>
      </x:c>
      <x:c r="G159" t="str">
        <x:f>IF(C159&gt;=30,"DPD deterioration",IF(D159&lt;1.1,"DSCR weakness",IF(E159&gt;5,"High leverage","Normal")))</x:f>
        <x:v>Normal</x:v>
      </x:c>
    </x:row>
    <x:row r="160">
      <x:c r="A160" t="str">
        <x:f>'02_Loan_Portfolio'!A158</x:f>
        <x:v>LN00157</x:v>
      </x:c>
      <x:c r="B160" t="str">
        <x:f>'02_Loan_Portfolio'!E158</x:f>
        <x:v>AAA</x:v>
      </x:c>
      <x:c r="C160" t="n">
        <x:f>'02_Loan_Portfolio'!L158</x:f>
        <x:v>0</x:v>
      </x:c>
      <x:c r="D160" t="n">
        <x:f>'02_Loan_Portfolio'!J158</x:f>
        <x:v>2.236</x:v>
      </x:c>
      <x:c r="E160" t="n">
        <x:f>'02_Loan_Portfolio'!K158</x:f>
        <x:v>4.309</x:v>
      </x:c>
      <x:c r="F160" t="str">
        <x:f>IF(OR(C160&gt;=30,D160&lt;1.1,E160&gt;5),"Red",IF(OR(C160&gt;0,D160&lt;1.3,E160&gt;4),"Amber","Green"))</x:f>
        <x:v>Amber</x:v>
      </x:c>
      <x:c r="G160" t="str">
        <x:f>IF(C160&gt;=30,"DPD deterioration",IF(D160&lt;1.1,"DSCR weakness",IF(E160&gt;5,"High leverage","Normal")))</x:f>
        <x:v>Normal</x:v>
      </x:c>
    </x:row>
    <x:row r="161">
      <x:c r="A161" t="str">
        <x:f>'02_Loan_Portfolio'!A159</x:f>
        <x:v>LN00158</x:v>
      </x:c>
      <x:c r="B161" t="str">
        <x:f>'02_Loan_Portfolio'!E159</x:f>
        <x:v>CCC</x:v>
      </x:c>
      <x:c r="C161" t="n">
        <x:f>'02_Loan_Portfolio'!L159</x:f>
        <x:v>0</x:v>
      </x:c>
      <x:c r="D161" t="n">
        <x:f>'02_Loan_Portfolio'!J159</x:f>
        <x:v>1.436</x:v>
      </x:c>
      <x:c r="E161" t="n">
        <x:f>'02_Loan_Portfolio'!K159</x:f>
        <x:v>2.721</x:v>
      </x:c>
      <x:c r="F161" t="str">
        <x:f>IF(OR(C161&gt;=30,D161&lt;1.1,E161&gt;5),"Red",IF(OR(C161&gt;0,D161&lt;1.3,E161&gt;4),"Amber","Green"))</x:f>
        <x:v>Green</x:v>
      </x:c>
      <x:c r="G161" t="str">
        <x:f>IF(C161&gt;=30,"DPD deterioration",IF(D161&lt;1.1,"DSCR weakness",IF(E161&gt;5,"High leverage","Normal")))</x:f>
        <x:v>Normal</x:v>
      </x:c>
    </x:row>
    <x:row r="162">
      <x:c r="A162" t="str">
        <x:f>'02_Loan_Portfolio'!A160</x:f>
        <x:v>LN00159</x:v>
      </x:c>
      <x:c r="B162" t="str">
        <x:f>'02_Loan_Portfolio'!E160</x:f>
        <x:v>A</x:v>
      </x:c>
      <x:c r="C162" t="n">
        <x:f>'02_Loan_Portfolio'!L160</x:f>
        <x:v>5</x:v>
      </x:c>
      <x:c r="D162" t="n">
        <x:f>'02_Loan_Portfolio'!J160</x:f>
        <x:v>2.752</x:v>
      </x:c>
      <x:c r="E162" t="n">
        <x:f>'02_Loan_Portfolio'!K160</x:f>
        <x:v>3.459</x:v>
      </x:c>
      <x:c r="F162" t="str">
        <x:f>IF(OR(C162&gt;=30,D162&lt;1.1,E162&gt;5),"Red",IF(OR(C162&gt;0,D162&lt;1.3,E162&gt;4),"Amber","Green"))</x:f>
        <x:v>Amber</x:v>
      </x:c>
      <x:c r="G162" t="str">
        <x:f>IF(C162&gt;=30,"DPD deterioration",IF(D162&lt;1.1,"DSCR weakness",IF(E162&gt;5,"High leverage","Normal")))</x:f>
        <x:v>Normal</x:v>
      </x:c>
    </x:row>
    <x:row r="163">
      <x:c r="A163" t="str">
        <x:f>'02_Loan_Portfolio'!A161</x:f>
        <x:v>LN00160</x:v>
      </x:c>
      <x:c r="B163" t="str">
        <x:f>'02_Loan_Portfolio'!E161</x:f>
        <x:v>A</x:v>
      </x:c>
      <x:c r="C163" t="n">
        <x:f>'02_Loan_Portfolio'!L161</x:f>
        <x:v>5</x:v>
      </x:c>
      <x:c r="D163" t="n">
        <x:f>'02_Loan_Portfolio'!J161</x:f>
        <x:v>1.248</x:v>
      </x:c>
      <x:c r="E163" t="n">
        <x:f>'02_Loan_Portfolio'!K161</x:f>
        <x:v>3.384</x:v>
      </x:c>
      <x:c r="F163" t="str">
        <x:f>IF(OR(C163&gt;=30,D163&lt;1.1,E163&gt;5),"Red",IF(OR(C163&gt;0,D163&lt;1.3,E163&gt;4),"Amber","Green"))</x:f>
        <x:v>Amber</x:v>
      </x:c>
      <x:c r="G163" t="str">
        <x:f>IF(C163&gt;=30,"DPD deterioration",IF(D163&lt;1.1,"DSCR weakness",IF(E163&gt;5,"High leverage","Normal")))</x:f>
        <x:v>Normal</x:v>
      </x:c>
    </x:row>
    <x:row r="164">
      <x:c r="A164" t="str">
        <x:f>'02_Loan_Portfolio'!A162</x:f>
        <x:v>LN00161</x:v>
      </x:c>
      <x:c r="B164" t="str">
        <x:f>'02_Loan_Portfolio'!E162</x:f>
        <x:v>B</x:v>
      </x:c>
      <x:c r="C164" t="n">
        <x:f>'02_Loan_Portfolio'!L162</x:f>
        <x:v>0</x:v>
      </x:c>
      <x:c r="D164" t="n">
        <x:f>'02_Loan_Portfolio'!J162</x:f>
        <x:v>1.369</x:v>
      </x:c>
      <x:c r="E164" t="n">
        <x:f>'02_Loan_Portfolio'!K162</x:f>
        <x:v>2.946</x:v>
      </x:c>
      <x:c r="F164" t="str">
        <x:f>IF(OR(C164&gt;=30,D164&lt;1.1,E164&gt;5),"Red",IF(OR(C164&gt;0,D164&lt;1.3,E164&gt;4),"Amber","Green"))</x:f>
        <x:v>Green</x:v>
      </x:c>
      <x:c r="G164" t="str">
        <x:f>IF(C164&gt;=30,"DPD deterioration",IF(D164&lt;1.1,"DSCR weakness",IF(E164&gt;5,"High leverage","Normal")))</x:f>
        <x:v>Normal</x:v>
      </x:c>
    </x:row>
    <x:row r="165">
      <x:c r="A165" t="str">
        <x:f>'02_Loan_Portfolio'!A163</x:f>
        <x:v>LN00162</x:v>
      </x:c>
      <x:c r="B165" t="str">
        <x:f>'02_Loan_Portfolio'!E163</x:f>
        <x:v>AAA</x:v>
      </x:c>
      <x:c r="C165" t="n">
        <x:f>'02_Loan_Portfolio'!L163</x:f>
        <x:v>5</x:v>
      </x:c>
      <x:c r="D165" t="n">
        <x:f>'02_Loan_Portfolio'!J163</x:f>
        <x:v>1.652</x:v>
      </x:c>
      <x:c r="E165" t="n">
        <x:f>'02_Loan_Portfolio'!K163</x:f>
        <x:v>2.285</x:v>
      </x:c>
      <x:c r="F165" t="str">
        <x:f>IF(OR(C165&gt;=30,D165&lt;1.1,E165&gt;5),"Red",IF(OR(C165&gt;0,D165&lt;1.3,E165&gt;4),"Amber","Green"))</x:f>
        <x:v>Amber</x:v>
      </x:c>
      <x:c r="G165" t="str">
        <x:f>IF(C165&gt;=30,"DPD deterioration",IF(D165&lt;1.1,"DSCR weakness",IF(E165&gt;5,"High leverage","Normal")))</x:f>
        <x:v>Normal</x:v>
      </x:c>
    </x:row>
    <x:row r="166">
      <x:c r="A166" t="str">
        <x:f>'02_Loan_Portfolio'!A164</x:f>
        <x:v>LN00163</x:v>
      </x:c>
      <x:c r="B166" t="str">
        <x:f>'02_Loan_Portfolio'!E164</x:f>
        <x:v>A</x:v>
      </x:c>
      <x:c r="C166" t="n">
        <x:f>'02_Loan_Portfolio'!L164</x:f>
        <x:v>0</x:v>
      </x:c>
      <x:c r="D166" t="n">
        <x:f>'02_Loan_Portfolio'!J164</x:f>
        <x:v>1.295</x:v>
      </x:c>
      <x:c r="E166" t="n">
        <x:f>'02_Loan_Portfolio'!K164</x:f>
        <x:v>1.847</x:v>
      </x:c>
      <x:c r="F166" t="str">
        <x:f>IF(OR(C166&gt;=30,D166&lt;1.1,E166&gt;5),"Red",IF(OR(C166&gt;0,D166&lt;1.3,E166&gt;4),"Amber","Green"))</x:f>
        <x:v>Amber</x:v>
      </x:c>
      <x:c r="G166" t="str">
        <x:f>IF(C166&gt;=30,"DPD deterioration",IF(D166&lt;1.1,"DSCR weakness",IF(E166&gt;5,"High leverage","Normal")))</x:f>
        <x:v>Normal</x:v>
      </x:c>
    </x:row>
    <x:row r="167">
      <x:c r="A167" t="str">
        <x:f>'02_Loan_Portfolio'!A165</x:f>
        <x:v>LN00164</x:v>
      </x:c>
      <x:c r="B167" t="str">
        <x:f>'02_Loan_Portfolio'!E165</x:f>
        <x:v>AA</x:v>
      </x:c>
      <x:c r="C167" t="n">
        <x:f>'02_Loan_Portfolio'!L165</x:f>
        <x:v>0</x:v>
      </x:c>
      <x:c r="D167" t="n">
        <x:f>'02_Loan_Portfolio'!J165</x:f>
        <x:v>2.192</x:v>
      </x:c>
      <x:c r="E167" t="n">
        <x:f>'02_Loan_Portfolio'!K165</x:f>
        <x:v>0.2</x:v>
      </x:c>
      <x:c r="F167" t="str">
        <x:f>IF(OR(C167&gt;=30,D167&lt;1.1,E167&gt;5),"Red",IF(OR(C167&gt;0,D167&lt;1.3,E167&gt;4),"Amber","Green"))</x:f>
        <x:v>Green</x:v>
      </x:c>
      <x:c r="G167" t="str">
        <x:f>IF(C167&gt;=30,"DPD deterioration",IF(D167&lt;1.1,"DSCR weakness",IF(E167&gt;5,"High leverage","Normal")))</x:f>
        <x:v>Normal</x:v>
      </x:c>
    </x:row>
    <x:row r="168">
      <x:c r="A168" t="str">
        <x:f>'02_Loan_Portfolio'!A166</x:f>
        <x:v>LN00165</x:v>
      </x:c>
      <x:c r="B168" t="str">
        <x:f>'02_Loan_Portfolio'!E166</x:f>
        <x:v>B</x:v>
      </x:c>
      <x:c r="C168" t="n">
        <x:f>'02_Loan_Portfolio'!L166</x:f>
        <x:v>0</x:v>
      </x:c>
      <x:c r="D168" t="n">
        <x:f>'02_Loan_Portfolio'!J166</x:f>
        <x:v>0.664</x:v>
      </x:c>
      <x:c r="E168" t="n">
        <x:f>'02_Loan_Portfolio'!K166</x:f>
        <x:v>1.79</x:v>
      </x:c>
      <x:c r="F168" t="str">
        <x:f>IF(OR(C168&gt;=30,D168&lt;1.1,E168&gt;5),"Red",IF(OR(C168&gt;0,D168&lt;1.3,E168&gt;4),"Amber","Green"))</x:f>
        <x:v>Red</x:v>
      </x:c>
      <x:c r="G168" t="str">
        <x:f>IF(C168&gt;=30,"DPD deterioration",IF(D168&lt;1.1,"DSCR weakness",IF(E168&gt;5,"High leverage","Normal")))</x:f>
        <x:v>DSCR weakness</x:v>
      </x:c>
    </x:row>
    <x:row r="169">
      <x:c r="A169" t="str">
        <x:f>'02_Loan_Portfolio'!A167</x:f>
        <x:v>LN00166</x:v>
      </x:c>
      <x:c r="B169" t="str">
        <x:f>'02_Loan_Portfolio'!E167</x:f>
        <x:v>B</x:v>
      </x:c>
      <x:c r="C169" t="n">
        <x:f>'02_Loan_Portfolio'!L167</x:f>
        <x:v>0</x:v>
      </x:c>
      <x:c r="D169" t="n">
        <x:f>'02_Loan_Portfolio'!J167</x:f>
        <x:v>1.715</x:v>
      </x:c>
      <x:c r="E169" t="n">
        <x:f>'02_Loan_Portfolio'!K167</x:f>
        <x:v>5.981</x:v>
      </x:c>
      <x:c r="F169" t="str">
        <x:f>IF(OR(C169&gt;=30,D169&lt;1.1,E169&gt;5),"Red",IF(OR(C169&gt;0,D169&lt;1.3,E169&gt;4),"Amber","Green"))</x:f>
        <x:v>Red</x:v>
      </x:c>
      <x:c r="G169" t="str">
        <x:f>IF(C169&gt;=30,"DPD deterioration",IF(D169&lt;1.1,"DSCR weakness",IF(E169&gt;5,"High leverage","Normal")))</x:f>
        <x:v>High leverage</x:v>
      </x:c>
    </x:row>
    <x:row r="170">
      <x:c r="A170" t="str">
        <x:f>'02_Loan_Portfolio'!A168</x:f>
        <x:v>LN00167</x:v>
      </x:c>
      <x:c r="B170" t="str">
        <x:f>'02_Loan_Portfolio'!E168</x:f>
        <x:v>B</x:v>
      </x:c>
      <x:c r="C170" t="n">
        <x:f>'02_Loan_Portfolio'!L168</x:f>
        <x:v>0</x:v>
      </x:c>
      <x:c r="D170" t="n">
        <x:f>'02_Loan_Portfolio'!J168</x:f>
        <x:v>1.441</x:v>
      </x:c>
      <x:c r="E170" t="n">
        <x:f>'02_Loan_Portfolio'!K168</x:f>
        <x:v>2.63</x:v>
      </x:c>
      <x:c r="F170" t="str">
        <x:f>IF(OR(C170&gt;=30,D170&lt;1.1,E170&gt;5),"Red",IF(OR(C170&gt;0,D170&lt;1.3,E170&gt;4),"Amber","Green"))</x:f>
        <x:v>Green</x:v>
      </x:c>
      <x:c r="G170" t="str">
        <x:f>IF(C170&gt;=30,"DPD deterioration",IF(D170&lt;1.1,"DSCR weakness",IF(E170&gt;5,"High leverage","Normal")))</x:f>
        <x:v>Normal</x:v>
      </x:c>
    </x:row>
    <x:row r="171">
      <x:c r="A171" t="str">
        <x:f>'02_Loan_Portfolio'!A169</x:f>
        <x:v>LN00168</x:v>
      </x:c>
      <x:c r="B171" t="str">
        <x:f>'02_Loan_Portfolio'!E169</x:f>
        <x:v>BB</x:v>
      </x:c>
      <x:c r="C171" t="n">
        <x:f>'02_Loan_Portfolio'!L169</x:f>
        <x:v>0</x:v>
      </x:c>
      <x:c r="D171" t="n">
        <x:f>'02_Loan_Portfolio'!J169</x:f>
        <x:v>0.357</x:v>
      </x:c>
      <x:c r="E171" t="n">
        <x:f>'02_Loan_Portfolio'!K169</x:f>
        <x:v>0.2</x:v>
      </x:c>
      <x:c r="F171" t="str">
        <x:f>IF(OR(C171&gt;=30,D171&lt;1.1,E171&gt;5),"Red",IF(OR(C171&gt;0,D171&lt;1.3,E171&gt;4),"Amber","Green"))</x:f>
        <x:v>Red</x:v>
      </x:c>
      <x:c r="G171" t="str">
        <x:f>IF(C171&gt;=30,"DPD deterioration",IF(D171&lt;1.1,"DSCR weakness",IF(E171&gt;5,"High leverage","Normal")))</x:f>
        <x:v>DSCR weakness</x:v>
      </x:c>
    </x:row>
    <x:row r="172">
      <x:c r="A172" t="str">
        <x:f>'02_Loan_Portfolio'!A170</x:f>
        <x:v>LN00169</x:v>
      </x:c>
      <x:c r="B172" t="str">
        <x:f>'02_Loan_Portfolio'!E170</x:f>
        <x:v>BBB</x:v>
      </x:c>
      <x:c r="C172" t="n">
        <x:f>'02_Loan_Portfolio'!L170</x:f>
        <x:v>0</x:v>
      </x:c>
      <x:c r="D172" t="n">
        <x:f>'02_Loan_Portfolio'!J170</x:f>
        <x:v>1.778</x:v>
      </x:c>
      <x:c r="E172" t="n">
        <x:f>'02_Loan_Portfolio'!K170</x:f>
        <x:v>2.621</x:v>
      </x:c>
      <x:c r="F172" t="str">
        <x:f>IF(OR(C172&gt;=30,D172&lt;1.1,E172&gt;5),"Red",IF(OR(C172&gt;0,D172&lt;1.3,E172&gt;4),"Amber","Green"))</x:f>
        <x:v>Green</x:v>
      </x:c>
      <x:c r="G172" t="str">
        <x:f>IF(C172&gt;=30,"DPD deterioration",IF(D172&lt;1.1,"DSCR weakness",IF(E172&gt;5,"High leverage","Normal")))</x:f>
        <x:v>Normal</x:v>
      </x:c>
    </x:row>
    <x:row r="173">
      <x:c r="A173" t="str">
        <x:f>'02_Loan_Portfolio'!A171</x:f>
        <x:v>LN00170</x:v>
      </x:c>
      <x:c r="B173" t="str">
        <x:f>'02_Loan_Portfolio'!E171</x:f>
        <x:v>BBB</x:v>
      </x:c>
      <x:c r="C173" t="n">
        <x:f>'02_Loan_Portfolio'!L171</x:f>
        <x:v>15</x:v>
      </x:c>
      <x:c r="D173" t="n">
        <x:f>'02_Loan_Portfolio'!J171</x:f>
        <x:v>1.869</x:v>
      </x:c>
      <x:c r="E173" t="n">
        <x:f>'02_Loan_Portfolio'!K171</x:f>
        <x:v>1.44</x:v>
      </x:c>
      <x:c r="F173" t="str">
        <x:f>IF(OR(C173&gt;=30,D173&lt;1.1,E173&gt;5),"Red",IF(OR(C173&gt;0,D173&lt;1.3,E173&gt;4),"Amber","Green"))</x:f>
        <x:v>Amber</x:v>
      </x:c>
      <x:c r="G173" t="str">
        <x:f>IF(C173&gt;=30,"DPD deterioration",IF(D173&lt;1.1,"DSCR weakness",IF(E173&gt;5,"High leverage","Normal")))</x:f>
        <x:v>Normal</x:v>
      </x:c>
    </x:row>
    <x:row r="174">
      <x:c r="A174" t="str">
        <x:f>'02_Loan_Portfolio'!A172</x:f>
        <x:v>LN00171</x:v>
      </x:c>
      <x:c r="B174" t="str">
        <x:f>'02_Loan_Portfolio'!E172</x:f>
        <x:v>BB</x:v>
      </x:c>
      <x:c r="C174" t="n">
        <x:f>'02_Loan_Portfolio'!L172</x:f>
        <x:v>0</x:v>
      </x:c>
      <x:c r="D174" t="n">
        <x:f>'02_Loan_Portfolio'!J172</x:f>
        <x:v>1.459</x:v>
      </x:c>
      <x:c r="E174" t="n">
        <x:f>'02_Loan_Portfolio'!K172</x:f>
        <x:v>3.453</x:v>
      </x:c>
      <x:c r="F174" t="str">
        <x:f>IF(OR(C174&gt;=30,D174&lt;1.1,E174&gt;5),"Red",IF(OR(C174&gt;0,D174&lt;1.3,E174&gt;4),"Amber","Green"))</x:f>
        <x:v>Green</x:v>
      </x:c>
      <x:c r="G174" t="str">
        <x:f>IF(C174&gt;=30,"DPD deterioration",IF(D174&lt;1.1,"DSCR weakness",IF(E174&gt;5,"High leverage","Normal")))</x:f>
        <x:v>Normal</x:v>
      </x:c>
    </x:row>
    <x:row r="175">
      <x:c r="A175" t="str">
        <x:f>'02_Loan_Portfolio'!A173</x:f>
        <x:v>LN00172</x:v>
      </x:c>
      <x:c r="B175" t="str">
        <x:f>'02_Loan_Portfolio'!E173</x:f>
        <x:v>B</x:v>
      </x:c>
      <x:c r="C175" t="n">
        <x:f>'02_Loan_Portfolio'!L173</x:f>
        <x:v>0</x:v>
      </x:c>
      <x:c r="D175" t="n">
        <x:f>'02_Loan_Portfolio'!J173</x:f>
        <x:v>1.952</x:v>
      </x:c>
      <x:c r="E175" t="n">
        <x:f>'02_Loan_Portfolio'!K173</x:f>
        <x:v>3.862</x:v>
      </x:c>
      <x:c r="F175" t="str">
        <x:f>IF(OR(C175&gt;=30,D175&lt;1.1,E175&gt;5),"Red",IF(OR(C175&gt;0,D175&lt;1.3,E175&gt;4),"Amber","Green"))</x:f>
        <x:v>Green</x:v>
      </x:c>
      <x:c r="G175" t="str">
        <x:f>IF(C175&gt;=30,"DPD deterioration",IF(D175&lt;1.1,"DSCR weakness",IF(E175&gt;5,"High leverage","Normal")))</x:f>
        <x:v>Normal</x:v>
      </x:c>
    </x:row>
    <x:row r="176">
      <x:c r="A176" t="str">
        <x:f>'02_Loan_Portfolio'!A174</x:f>
        <x:v>LN00173</x:v>
      </x:c>
      <x:c r="B176" t="str">
        <x:f>'02_Loan_Portfolio'!E174</x:f>
        <x:v>BBB</x:v>
      </x:c>
      <x:c r="C176" t="n">
        <x:f>'02_Loan_Portfolio'!L174</x:f>
        <x:v>35</x:v>
      </x:c>
      <x:c r="D176" t="n">
        <x:f>'02_Loan_Portfolio'!J174</x:f>
        <x:v>1.578</x:v>
      </x:c>
      <x:c r="E176" t="n">
        <x:f>'02_Loan_Portfolio'!K174</x:f>
        <x:v>5.59</x:v>
      </x:c>
      <x:c r="F176" t="str">
        <x:f>IF(OR(C176&gt;=30,D176&lt;1.1,E176&gt;5),"Red",IF(OR(C176&gt;0,D176&lt;1.3,E176&gt;4),"Amber","Green"))</x:f>
        <x:v>Red</x:v>
      </x:c>
      <x:c r="G176" t="str">
        <x:f>IF(C176&gt;=30,"DPD deterioration",IF(D176&lt;1.1,"DSCR weakness",IF(E176&gt;5,"High leverage","Normal")))</x:f>
        <x:v>DPD deterioration</x:v>
      </x:c>
    </x:row>
    <x:row r="177">
      <x:c r="A177" t="str">
        <x:f>'02_Loan_Portfolio'!A175</x:f>
        <x:v>LN00174</x:v>
      </x:c>
      <x:c r="B177" t="str">
        <x:f>'02_Loan_Portfolio'!E175</x:f>
        <x:v>BB</x:v>
      </x:c>
      <x:c r="C177" t="n">
        <x:f>'02_Loan_Portfolio'!L175</x:f>
        <x:v>5</x:v>
      </x:c>
      <x:c r="D177" t="n">
        <x:f>'02_Loan_Portfolio'!J175</x:f>
        <x:v>1.415</x:v>
      </x:c>
      <x:c r="E177" t="n">
        <x:f>'02_Loan_Portfolio'!K175</x:f>
        <x:v>2.682</x:v>
      </x:c>
      <x:c r="F177" t="str">
        <x:f>IF(OR(C177&gt;=30,D177&lt;1.1,E177&gt;5),"Red",IF(OR(C177&gt;0,D177&lt;1.3,E177&gt;4),"Amber","Green"))</x:f>
        <x:v>Amber</x:v>
      </x:c>
      <x:c r="G177" t="str">
        <x:f>IF(C177&gt;=30,"DPD deterioration",IF(D177&lt;1.1,"DSCR weakness",IF(E177&gt;5,"High leverage","Normal")))</x:f>
        <x:v>Normal</x:v>
      </x:c>
    </x:row>
    <x:row r="178">
      <x:c r="A178" t="str">
        <x:f>'02_Loan_Portfolio'!A176</x:f>
        <x:v>LN00175</x:v>
      </x:c>
      <x:c r="B178" t="str">
        <x:f>'02_Loan_Portfolio'!E176</x:f>
        <x:v>BBB</x:v>
      </x:c>
      <x:c r="C178" t="n">
        <x:f>'02_Loan_Portfolio'!L176</x:f>
        <x:v>35</x:v>
      </x:c>
      <x:c r="D178" t="n">
        <x:f>'02_Loan_Portfolio'!J176</x:f>
        <x:v>1.018</x:v>
      </x:c>
      <x:c r="E178" t="n">
        <x:f>'02_Loan_Portfolio'!K176</x:f>
        <x:v>6.323</x:v>
      </x:c>
      <x:c r="F178" t="str">
        <x:f>IF(OR(C178&gt;=30,D178&lt;1.1,E178&gt;5),"Red",IF(OR(C178&gt;0,D178&lt;1.3,E178&gt;4),"Amber","Green"))</x:f>
        <x:v>Red</x:v>
      </x:c>
      <x:c r="G178" t="str">
        <x:f>IF(C178&gt;=30,"DPD deterioration",IF(D178&lt;1.1,"DSCR weakness",IF(E178&gt;5,"High leverage","Normal")))</x:f>
        <x:v>DPD deterioration</x:v>
      </x:c>
    </x:row>
    <x:row r="179">
      <x:c r="A179" t="str">
        <x:f>'02_Loan_Portfolio'!A177</x:f>
        <x:v>LN00176</x:v>
      </x:c>
      <x:c r="B179" t="str">
        <x:f>'02_Loan_Portfolio'!E177</x:f>
        <x:v>A</x:v>
      </x:c>
      <x:c r="C179" t="n">
        <x:f>'02_Loan_Portfolio'!L177</x:f>
        <x:v>15</x:v>
      </x:c>
      <x:c r="D179" t="n">
        <x:f>'02_Loan_Portfolio'!J177</x:f>
        <x:v>2.534</x:v>
      </x:c>
      <x:c r="E179" t="n">
        <x:f>'02_Loan_Portfolio'!K177</x:f>
        <x:v>5.203</x:v>
      </x:c>
      <x:c r="F179" t="str">
        <x:f>IF(OR(C179&gt;=30,D179&lt;1.1,E179&gt;5),"Red",IF(OR(C179&gt;0,D179&lt;1.3,E179&gt;4),"Amber","Green"))</x:f>
        <x:v>Red</x:v>
      </x:c>
      <x:c r="G179" t="str">
        <x:f>IF(C179&gt;=30,"DPD deterioration",IF(D179&lt;1.1,"DSCR weakness",IF(E179&gt;5,"High leverage","Normal")))</x:f>
        <x:v>High leverage</x:v>
      </x:c>
    </x:row>
    <x:row r="180">
      <x:c r="A180" t="str">
        <x:f>'02_Loan_Portfolio'!A178</x:f>
        <x:v>LN00177</x:v>
      </x:c>
      <x:c r="B180" t="str">
        <x:f>'02_Loan_Portfolio'!E178</x:f>
        <x:v>A</x:v>
      </x:c>
      <x:c r="C180" t="n">
        <x:f>'02_Loan_Portfolio'!L178</x:f>
        <x:v>5</x:v>
      </x:c>
      <x:c r="D180" t="n">
        <x:f>'02_Loan_Portfolio'!J178</x:f>
        <x:v>1.529</x:v>
      </x:c>
      <x:c r="E180" t="n">
        <x:f>'02_Loan_Portfolio'!K178</x:f>
        <x:v>2.716</x:v>
      </x:c>
      <x:c r="F180" t="str">
        <x:f>IF(OR(C180&gt;=30,D180&lt;1.1,E180&gt;5),"Red",IF(OR(C180&gt;0,D180&lt;1.3,E180&gt;4),"Amber","Green"))</x:f>
        <x:v>Amber</x:v>
      </x:c>
      <x:c r="G180" t="str">
        <x:f>IF(C180&gt;=30,"DPD deterioration",IF(D180&lt;1.1,"DSCR weakness",IF(E180&gt;5,"High leverage","Normal")))</x:f>
        <x:v>Normal</x:v>
      </x:c>
    </x:row>
    <x:row r="181">
      <x:c r="A181" t="str">
        <x:f>'02_Loan_Portfolio'!A179</x:f>
        <x:v>LN00178</x:v>
      </x:c>
      <x:c r="B181" t="str">
        <x:f>'02_Loan_Portfolio'!E179</x:f>
        <x:v>BBB</x:v>
      </x:c>
      <x:c r="C181" t="n">
        <x:f>'02_Loan_Portfolio'!L179</x:f>
        <x:v>0</x:v>
      </x:c>
      <x:c r="D181" t="n">
        <x:f>'02_Loan_Portfolio'!J179</x:f>
        <x:v>1.793</x:v>
      </x:c>
      <x:c r="E181" t="n">
        <x:f>'02_Loan_Portfolio'!K179</x:f>
        <x:v>3.137</x:v>
      </x:c>
      <x:c r="F181" t="str">
        <x:f>IF(OR(C181&gt;=30,D181&lt;1.1,E181&gt;5),"Red",IF(OR(C181&gt;0,D181&lt;1.3,E181&gt;4),"Amber","Green"))</x:f>
        <x:v>Green</x:v>
      </x:c>
      <x:c r="G181" t="str">
        <x:f>IF(C181&gt;=30,"DPD deterioration",IF(D181&lt;1.1,"DSCR weakness",IF(E181&gt;5,"High leverage","Normal")))</x:f>
        <x:v>Normal</x:v>
      </x:c>
    </x:row>
    <x:row r="182">
      <x:c r="A182" t="str">
        <x:f>'02_Loan_Portfolio'!A180</x:f>
        <x:v>LN00179</x:v>
      </x:c>
      <x:c r="B182" t="str">
        <x:f>'02_Loan_Portfolio'!E180</x:f>
        <x:v>A</x:v>
      </x:c>
      <x:c r="C182" t="n">
        <x:f>'02_Loan_Portfolio'!L180</x:f>
        <x:v>15</x:v>
      </x:c>
      <x:c r="D182" t="n">
        <x:f>'02_Loan_Portfolio'!J180</x:f>
        <x:v>2.33</x:v>
      </x:c>
      <x:c r="E182" t="n">
        <x:f>'02_Loan_Portfolio'!K180</x:f>
        <x:v>4.268</x:v>
      </x:c>
      <x:c r="F182" t="str">
        <x:f>IF(OR(C182&gt;=30,D182&lt;1.1,E182&gt;5),"Red",IF(OR(C182&gt;0,D182&lt;1.3,E182&gt;4),"Amber","Green"))</x:f>
        <x:v>Amber</x:v>
      </x:c>
      <x:c r="G182" t="str">
        <x:f>IF(C182&gt;=30,"DPD deterioration",IF(D182&lt;1.1,"DSCR weakness",IF(E182&gt;5,"High leverage","Normal")))</x:f>
        <x:v>Normal</x:v>
      </x:c>
    </x:row>
    <x:row r="183">
      <x:c r="A183" t="str">
        <x:f>'02_Loan_Portfolio'!A181</x:f>
        <x:v>LN00180</x:v>
      </x:c>
      <x:c r="B183" t="str">
        <x:f>'02_Loan_Portfolio'!E181</x:f>
        <x:v>BB</x:v>
      </x:c>
      <x:c r="C183" t="n">
        <x:f>'02_Loan_Portfolio'!L181</x:f>
        <x:v>0</x:v>
      </x:c>
      <x:c r="D183" t="n">
        <x:f>'02_Loan_Portfolio'!J181</x:f>
        <x:v>2.01</x:v>
      </x:c>
      <x:c r="E183" t="n">
        <x:f>'02_Loan_Portfolio'!K181</x:f>
        <x:v>5.463</x:v>
      </x:c>
      <x:c r="F183" t="str">
        <x:f>IF(OR(C183&gt;=30,D183&lt;1.1,E183&gt;5),"Red",IF(OR(C183&gt;0,D183&lt;1.3,E183&gt;4),"Amber","Green"))</x:f>
        <x:v>Red</x:v>
      </x:c>
      <x:c r="G183" t="str">
        <x:f>IF(C183&gt;=30,"DPD deterioration",IF(D183&lt;1.1,"DSCR weakness",IF(E183&gt;5,"High leverage","Normal")))</x:f>
        <x:v>High leverage</x:v>
      </x:c>
    </x:row>
    <x:row r="184">
      <x:c r="A184" t="str">
        <x:f>'02_Loan_Portfolio'!A182</x:f>
        <x:v>LN00181</x:v>
      </x:c>
      <x:c r="B184" t="str">
        <x:f>'02_Loan_Portfolio'!E182</x:f>
        <x:v>A</x:v>
      </x:c>
      <x:c r="C184" t="n">
        <x:f>'02_Loan_Portfolio'!L182</x:f>
        <x:v>65</x:v>
      </x:c>
      <x:c r="D184" t="n">
        <x:f>'02_Loan_Portfolio'!J182</x:f>
        <x:v>2.591</x:v>
      </x:c>
      <x:c r="E184" t="n">
        <x:f>'02_Loan_Portfolio'!K182</x:f>
        <x:v>3.222</x:v>
      </x:c>
      <x:c r="F184" t="str">
        <x:f>IF(OR(C184&gt;=30,D184&lt;1.1,E184&gt;5),"Red",IF(OR(C184&gt;0,D184&lt;1.3,E184&gt;4),"Amber","Green"))</x:f>
        <x:v>Red</x:v>
      </x:c>
      <x:c r="G184" t="str">
        <x:f>IF(C184&gt;=30,"DPD deterioration",IF(D184&lt;1.1,"DSCR weakness",IF(E184&gt;5,"High leverage","Normal")))</x:f>
        <x:v>DPD deterioration</x:v>
      </x:c>
    </x:row>
    <x:row r="185">
      <x:c r="A185" t="str">
        <x:f>'02_Loan_Portfolio'!A183</x:f>
        <x:v>LN00182</x:v>
      </x:c>
      <x:c r="B185" t="str">
        <x:f>'02_Loan_Portfolio'!E183</x:f>
        <x:v>BB</x:v>
      </x:c>
      <x:c r="C185" t="n">
        <x:f>'02_Loan_Portfolio'!L183</x:f>
        <x:v>0</x:v>
      </x:c>
      <x:c r="D185" t="n">
        <x:f>'02_Loan_Portfolio'!J183</x:f>
        <x:v>2.006</x:v>
      </x:c>
      <x:c r="E185" t="n">
        <x:f>'02_Loan_Portfolio'!K183</x:f>
        <x:v>0.768</x:v>
      </x:c>
      <x:c r="F185" t="str">
        <x:f>IF(OR(C185&gt;=30,D185&lt;1.1,E185&gt;5),"Red",IF(OR(C185&gt;0,D185&lt;1.3,E185&gt;4),"Amber","Green"))</x:f>
        <x:v>Green</x:v>
      </x:c>
      <x:c r="G185" t="str">
        <x:f>IF(C185&gt;=30,"DPD deterioration",IF(D185&lt;1.1,"DSCR weakness",IF(E185&gt;5,"High leverage","Normal")))</x:f>
        <x:v>Normal</x:v>
      </x:c>
    </x:row>
    <x:row r="186">
      <x:c r="A186" t="str">
        <x:f>'02_Loan_Portfolio'!A184</x:f>
        <x:v>LN00183</x:v>
      </x:c>
      <x:c r="B186" t="str">
        <x:f>'02_Loan_Portfolio'!E184</x:f>
        <x:v>CCC</x:v>
      </x:c>
      <x:c r="C186" t="n">
        <x:f>'02_Loan_Portfolio'!L184</x:f>
        <x:v>0</x:v>
      </x:c>
      <x:c r="D186" t="n">
        <x:f>'02_Loan_Portfolio'!J184</x:f>
        <x:v>0.949</x:v>
      </x:c>
      <x:c r="E186" t="n">
        <x:f>'02_Loan_Portfolio'!K184</x:f>
        <x:v>5.504</x:v>
      </x:c>
      <x:c r="F186" t="str">
        <x:f>IF(OR(C186&gt;=30,D186&lt;1.1,E186&gt;5),"Red",IF(OR(C186&gt;0,D186&lt;1.3,E186&gt;4),"Amber","Green"))</x:f>
        <x:v>Red</x:v>
      </x:c>
      <x:c r="G186" t="str">
        <x:f>IF(C186&gt;=30,"DPD deterioration",IF(D186&lt;1.1,"DSCR weakness",IF(E186&gt;5,"High leverage","Normal")))</x:f>
        <x:v>DSCR weakness</x:v>
      </x:c>
    </x:row>
    <x:row r="187">
      <x:c r="A187" t="str">
        <x:f>'02_Loan_Portfolio'!A185</x:f>
        <x:v>LN00184</x:v>
      </x:c>
      <x:c r="B187" t="str">
        <x:f>'02_Loan_Portfolio'!E185</x:f>
        <x:v>BBB</x:v>
      </x:c>
      <x:c r="C187" t="n">
        <x:f>'02_Loan_Portfolio'!L185</x:f>
        <x:v>0</x:v>
      </x:c>
      <x:c r="D187" t="n">
        <x:f>'02_Loan_Portfolio'!J185</x:f>
        <x:v>1.366</x:v>
      </x:c>
      <x:c r="E187" t="n">
        <x:f>'02_Loan_Portfolio'!K185</x:f>
        <x:v>1.856</x:v>
      </x:c>
      <x:c r="F187" t="str">
        <x:f>IF(OR(C187&gt;=30,D187&lt;1.1,E187&gt;5),"Red",IF(OR(C187&gt;0,D187&lt;1.3,E187&gt;4),"Amber","Green"))</x:f>
        <x:v>Green</x:v>
      </x:c>
      <x:c r="G187" t="str">
        <x:f>IF(C187&gt;=30,"DPD deterioration",IF(D187&lt;1.1,"DSCR weakness",IF(E187&gt;5,"High leverage","Normal")))</x:f>
        <x:v>Normal</x:v>
      </x:c>
    </x:row>
    <x:row r="188">
      <x:c r="A188" t="str">
        <x:f>'02_Loan_Portfolio'!A186</x:f>
        <x:v>LN00185</x:v>
      </x:c>
      <x:c r="B188" t="str">
        <x:f>'02_Loan_Portfolio'!E186</x:f>
        <x:v>BBB</x:v>
      </x:c>
      <x:c r="C188" t="n">
        <x:f>'02_Loan_Portfolio'!L186</x:f>
        <x:v>0</x:v>
      </x:c>
      <x:c r="D188" t="n">
        <x:f>'02_Loan_Portfolio'!J186</x:f>
        <x:v>2.348</x:v>
      </x:c>
      <x:c r="E188" t="n">
        <x:f>'02_Loan_Portfolio'!K186</x:f>
        <x:v>4.19</x:v>
      </x:c>
      <x:c r="F188" t="str">
        <x:f>IF(OR(C188&gt;=30,D188&lt;1.1,E188&gt;5),"Red",IF(OR(C188&gt;0,D188&lt;1.3,E188&gt;4),"Amber","Green"))</x:f>
        <x:v>Amber</x:v>
      </x:c>
      <x:c r="G188" t="str">
        <x:f>IF(C188&gt;=30,"DPD deterioration",IF(D188&lt;1.1,"DSCR weakness",IF(E188&gt;5,"High leverage","Normal")))</x:f>
        <x:v>Normal</x:v>
      </x:c>
    </x:row>
    <x:row r="189">
      <x:c r="A189" t="str">
        <x:f>'02_Loan_Portfolio'!A187</x:f>
        <x:v>LN00186</x:v>
      </x:c>
      <x:c r="B189" t="str">
        <x:f>'02_Loan_Portfolio'!E187</x:f>
        <x:v>AAA</x:v>
      </x:c>
      <x:c r="C189" t="n">
        <x:f>'02_Loan_Portfolio'!L187</x:f>
        <x:v>0</x:v>
      </x:c>
      <x:c r="D189" t="n">
        <x:f>'02_Loan_Portfolio'!J187</x:f>
        <x:v>0.849</x:v>
      </x:c>
      <x:c r="E189" t="n">
        <x:f>'02_Loan_Portfolio'!K187</x:f>
        <x:v>2.847</x:v>
      </x:c>
      <x:c r="F189" t="str">
        <x:f>IF(OR(C189&gt;=30,D189&lt;1.1,E189&gt;5),"Red",IF(OR(C189&gt;0,D189&lt;1.3,E189&gt;4),"Amber","Green"))</x:f>
        <x:v>Red</x:v>
      </x:c>
      <x:c r="G189" t="str">
        <x:f>IF(C189&gt;=30,"DPD deterioration",IF(D189&lt;1.1,"DSCR weakness",IF(E189&gt;5,"High leverage","Normal")))</x:f>
        <x:v>DSCR weakness</x:v>
      </x:c>
    </x:row>
    <x:row r="190">
      <x:c r="A190" t="str">
        <x:f>'02_Loan_Portfolio'!A188</x:f>
        <x:v>LN00187</x:v>
      </x:c>
      <x:c r="B190" t="str">
        <x:f>'02_Loan_Portfolio'!E188</x:f>
        <x:v>B</x:v>
      </x:c>
      <x:c r="C190" t="n">
        <x:f>'02_Loan_Portfolio'!L188</x:f>
        <x:v>0</x:v>
      </x:c>
      <x:c r="D190" t="n">
        <x:f>'02_Loan_Portfolio'!J188</x:f>
        <x:v>1.099</x:v>
      </x:c>
      <x:c r="E190" t="n">
        <x:f>'02_Loan_Portfolio'!K188</x:f>
        <x:v>4.566</x:v>
      </x:c>
      <x:c r="F190" t="str">
        <x:f>IF(OR(C190&gt;=30,D190&lt;1.1,E190&gt;5),"Red",IF(OR(C190&gt;0,D190&lt;1.3,E190&gt;4),"Amber","Green"))</x:f>
        <x:v>Red</x:v>
      </x:c>
      <x:c r="G190" t="str">
        <x:f>IF(C190&gt;=30,"DPD deterioration",IF(D190&lt;1.1,"DSCR weakness",IF(E190&gt;5,"High leverage","Normal")))</x:f>
        <x:v>DSCR weakness</x:v>
      </x:c>
    </x:row>
    <x:row r="191">
      <x:c r="A191" t="str">
        <x:f>'02_Loan_Portfolio'!A189</x:f>
        <x:v>LN00188</x:v>
      </x:c>
      <x:c r="B191" t="str">
        <x:f>'02_Loan_Portfolio'!E189</x:f>
        <x:v>BB</x:v>
      </x:c>
      <x:c r="C191" t="n">
        <x:f>'02_Loan_Portfolio'!L189</x:f>
        <x:v>0</x:v>
      </x:c>
      <x:c r="D191" t="n">
        <x:f>'02_Loan_Portfolio'!J189</x:f>
        <x:v>2.068</x:v>
      </x:c>
      <x:c r="E191" t="n">
        <x:f>'02_Loan_Portfolio'!K189</x:f>
        <x:v>2.405</x:v>
      </x:c>
      <x:c r="F191" t="str">
        <x:f>IF(OR(C191&gt;=30,D191&lt;1.1,E191&gt;5),"Red",IF(OR(C191&gt;0,D191&lt;1.3,E191&gt;4),"Amber","Green"))</x:f>
        <x:v>Green</x:v>
      </x:c>
      <x:c r="G191" t="str">
        <x:f>IF(C191&gt;=30,"DPD deterioration",IF(D191&lt;1.1,"DSCR weakness",IF(E191&gt;5,"High leverage","Normal")))</x:f>
        <x:v>Normal</x:v>
      </x:c>
    </x:row>
    <x:row r="192">
      <x:c r="A192" t="str">
        <x:f>'02_Loan_Portfolio'!A190</x:f>
        <x:v>LN00189</x:v>
      </x:c>
      <x:c r="B192" t="str">
        <x:f>'02_Loan_Portfolio'!E190</x:f>
        <x:v>B</x:v>
      </x:c>
      <x:c r="C192" t="n">
        <x:f>'02_Loan_Portfolio'!L190</x:f>
        <x:v>0</x:v>
      </x:c>
      <x:c r="D192" t="n">
        <x:f>'02_Loan_Portfolio'!J190</x:f>
        <x:v>2.731</x:v>
      </x:c>
      <x:c r="E192" t="n">
        <x:f>'02_Loan_Portfolio'!K190</x:f>
        <x:v>2.564</x:v>
      </x:c>
      <x:c r="F192" t="str">
        <x:f>IF(OR(C192&gt;=30,D192&lt;1.1,E192&gt;5),"Red",IF(OR(C192&gt;0,D192&lt;1.3,E192&gt;4),"Amber","Green"))</x:f>
        <x:v>Green</x:v>
      </x:c>
      <x:c r="G192" t="str">
        <x:f>IF(C192&gt;=30,"DPD deterioration",IF(D192&lt;1.1,"DSCR weakness",IF(E192&gt;5,"High leverage","Normal")))</x:f>
        <x:v>Normal</x:v>
      </x:c>
    </x:row>
    <x:row r="193">
      <x:c r="A193" t="str">
        <x:f>'02_Loan_Portfolio'!A191</x:f>
        <x:v>LN00190</x:v>
      </x:c>
      <x:c r="B193" t="str">
        <x:f>'02_Loan_Portfolio'!E191</x:f>
        <x:v>B</x:v>
      </x:c>
      <x:c r="C193" t="n">
        <x:f>'02_Loan_Portfolio'!L191</x:f>
        <x:v>5</x:v>
      </x:c>
      <x:c r="D193" t="n">
        <x:f>'02_Loan_Portfolio'!J191</x:f>
        <x:v>1.292</x:v>
      </x:c>
      <x:c r="E193" t="n">
        <x:f>'02_Loan_Portfolio'!K191</x:f>
        <x:v>3.561</x:v>
      </x:c>
      <x:c r="F193" t="str">
        <x:f>IF(OR(C193&gt;=30,D193&lt;1.1,E193&gt;5),"Red",IF(OR(C193&gt;0,D193&lt;1.3,E193&gt;4),"Amber","Green"))</x:f>
        <x:v>Amber</x:v>
      </x:c>
      <x:c r="G193" t="str">
        <x:f>IF(C193&gt;=30,"DPD deterioration",IF(D193&lt;1.1,"DSCR weakness",IF(E193&gt;5,"High leverage","Normal")))</x:f>
        <x:v>Normal</x:v>
      </x:c>
    </x:row>
    <x:row r="194">
      <x:c r="A194" t="str">
        <x:f>'02_Loan_Portfolio'!A192</x:f>
        <x:v>LN00191</x:v>
      </x:c>
      <x:c r="B194" t="str">
        <x:f>'02_Loan_Portfolio'!E192</x:f>
        <x:v>B</x:v>
      </x:c>
      <x:c r="C194" t="n">
        <x:f>'02_Loan_Portfolio'!L192</x:f>
        <x:v>0</x:v>
      </x:c>
      <x:c r="D194" t="n">
        <x:f>'02_Loan_Portfolio'!J192</x:f>
        <x:v>2.015</x:v>
      </x:c>
      <x:c r="E194" t="n">
        <x:f>'02_Loan_Portfolio'!K192</x:f>
        <x:v>1.675</x:v>
      </x:c>
      <x:c r="F194" t="str">
        <x:f>IF(OR(C194&gt;=30,D194&lt;1.1,E194&gt;5),"Red",IF(OR(C194&gt;0,D194&lt;1.3,E194&gt;4),"Amber","Green"))</x:f>
        <x:v>Green</x:v>
      </x:c>
      <x:c r="G194" t="str">
        <x:f>IF(C194&gt;=30,"DPD deterioration",IF(D194&lt;1.1,"DSCR weakness",IF(E194&gt;5,"High leverage","Normal")))</x:f>
        <x:v>Normal</x:v>
      </x:c>
    </x:row>
    <x:row r="195">
      <x:c r="A195" t="str">
        <x:f>'02_Loan_Portfolio'!A193</x:f>
        <x:v>LN00192</x:v>
      </x:c>
      <x:c r="B195" t="str">
        <x:f>'02_Loan_Portfolio'!E193</x:f>
        <x:v>A</x:v>
      </x:c>
      <x:c r="C195" t="n">
        <x:f>'02_Loan_Portfolio'!L193</x:f>
        <x:v>5</x:v>
      </x:c>
      <x:c r="D195" t="n">
        <x:f>'02_Loan_Portfolio'!J193</x:f>
        <x:v>2.834</x:v>
      </x:c>
      <x:c r="E195" t="n">
        <x:f>'02_Loan_Portfolio'!K193</x:f>
        <x:v>4.942</x:v>
      </x:c>
      <x:c r="F195" t="str">
        <x:f>IF(OR(C195&gt;=30,D195&lt;1.1,E195&gt;5),"Red",IF(OR(C195&gt;0,D195&lt;1.3,E195&gt;4),"Amber","Green"))</x:f>
        <x:v>Amber</x:v>
      </x:c>
      <x:c r="G195" t="str">
        <x:f>IF(C195&gt;=30,"DPD deterioration",IF(D195&lt;1.1,"DSCR weakness",IF(E195&gt;5,"High leverage","Normal")))</x:f>
        <x:v>Normal</x:v>
      </x:c>
    </x:row>
    <x:row r="196">
      <x:c r="A196" t="str">
        <x:f>'02_Loan_Portfolio'!A194</x:f>
        <x:v>LN00193</x:v>
      </x:c>
      <x:c r="B196" t="str">
        <x:f>'02_Loan_Portfolio'!E194</x:f>
        <x:v>A</x:v>
      </x:c>
      <x:c r="C196" t="n">
        <x:f>'02_Loan_Portfolio'!L194</x:f>
        <x:v>0</x:v>
      </x:c>
      <x:c r="D196" t="n">
        <x:f>'02_Loan_Portfolio'!J194</x:f>
        <x:v>2.109</x:v>
      </x:c>
      <x:c r="E196" t="n">
        <x:f>'02_Loan_Portfolio'!K194</x:f>
        <x:v>3.992</x:v>
      </x:c>
      <x:c r="F196" t="str">
        <x:f>IF(OR(C196&gt;=30,D196&lt;1.1,E196&gt;5),"Red",IF(OR(C196&gt;0,D196&lt;1.3,E196&gt;4),"Amber","Green"))</x:f>
        <x:v>Green</x:v>
      </x:c>
      <x:c r="G196" t="str">
        <x:f>IF(C196&gt;=30,"DPD deterioration",IF(D196&lt;1.1,"DSCR weakness",IF(E196&gt;5,"High leverage","Normal")))</x:f>
        <x:v>Normal</x:v>
      </x:c>
    </x:row>
    <x:row r="197">
      <x:c r="A197" t="str">
        <x:f>'02_Loan_Portfolio'!A195</x:f>
        <x:v>LN00194</x:v>
      </x:c>
      <x:c r="B197" t="str">
        <x:f>'02_Loan_Portfolio'!E195</x:f>
        <x:v>BBB</x:v>
      </x:c>
      <x:c r="C197" t="n">
        <x:f>'02_Loan_Portfolio'!L195</x:f>
        <x:v>95</x:v>
      </x:c>
      <x:c r="D197" t="n">
        <x:f>'02_Loan_Portfolio'!J195</x:f>
        <x:v>2.116</x:v>
      </x:c>
      <x:c r="E197" t="n">
        <x:f>'02_Loan_Portfolio'!K195</x:f>
        <x:v>4.547</x:v>
      </x:c>
      <x:c r="F197" t="str">
        <x:f>IF(OR(C197&gt;=30,D197&lt;1.1,E197&gt;5),"Red",IF(OR(C197&gt;0,D197&lt;1.3,E197&gt;4),"Amber","Green"))</x:f>
        <x:v>Red</x:v>
      </x:c>
      <x:c r="G197" t="str">
        <x:f>IF(C197&gt;=30,"DPD deterioration",IF(D197&lt;1.1,"DSCR weakness",IF(E197&gt;5,"High leverage","Normal")))</x:f>
        <x:v>DPD deterioration</x:v>
      </x:c>
    </x:row>
    <x:row r="198">
      <x:c r="A198" t="str">
        <x:f>'02_Loan_Portfolio'!A196</x:f>
        <x:v>LN00195</x:v>
      </x:c>
      <x:c r="B198" t="str">
        <x:f>'02_Loan_Portfolio'!E196</x:f>
        <x:v>BBB</x:v>
      </x:c>
      <x:c r="C198" t="n">
        <x:f>'02_Loan_Portfolio'!L196</x:f>
        <x:v>0</x:v>
      </x:c>
      <x:c r="D198" t="n">
        <x:f>'02_Loan_Portfolio'!J196</x:f>
        <x:v>1.651</x:v>
      </x:c>
      <x:c r="E198" t="n">
        <x:f>'02_Loan_Portfolio'!K196</x:f>
        <x:v>3.841</x:v>
      </x:c>
      <x:c r="F198" t="str">
        <x:f>IF(OR(C198&gt;=30,D198&lt;1.1,E198&gt;5),"Red",IF(OR(C198&gt;0,D198&lt;1.3,E198&gt;4),"Amber","Green"))</x:f>
        <x:v>Green</x:v>
      </x:c>
      <x:c r="G198" t="str">
        <x:f>IF(C198&gt;=30,"DPD deterioration",IF(D198&lt;1.1,"DSCR weakness",IF(E198&gt;5,"High leverage","Normal")))</x:f>
        <x:v>Normal</x:v>
      </x:c>
    </x:row>
    <x:row r="199">
      <x:c r="A199" t="str">
        <x:f>'02_Loan_Portfolio'!A197</x:f>
        <x:v>LN00196</x:v>
      </x:c>
      <x:c r="B199" t="str">
        <x:f>'02_Loan_Portfolio'!E197</x:f>
        <x:v>CCC</x:v>
      </x:c>
      <x:c r="C199" t="n">
        <x:f>'02_Loan_Portfolio'!L197</x:f>
        <x:v>0</x:v>
      </x:c>
      <x:c r="D199" t="n">
        <x:f>'02_Loan_Portfolio'!J197</x:f>
        <x:v>1.801</x:v>
      </x:c>
      <x:c r="E199" t="n">
        <x:f>'02_Loan_Portfolio'!K197</x:f>
        <x:v>4.759</x:v>
      </x:c>
      <x:c r="F199" t="str">
        <x:f>IF(OR(C199&gt;=30,D199&lt;1.1,E199&gt;5),"Red",IF(OR(C199&gt;0,D199&lt;1.3,E199&gt;4),"Amber","Green"))</x:f>
        <x:v>Amber</x:v>
      </x:c>
      <x:c r="G199" t="str">
        <x:f>IF(C199&gt;=30,"DPD deterioration",IF(D199&lt;1.1,"DSCR weakness",IF(E199&gt;5,"High leverage","Normal")))</x:f>
        <x:v>Normal</x:v>
      </x:c>
    </x:row>
    <x:row r="200">
      <x:c r="A200" t="str">
        <x:f>'02_Loan_Portfolio'!A198</x:f>
        <x:v>LN00197</x:v>
      </x:c>
      <x:c r="B200" t="str">
        <x:f>'02_Loan_Portfolio'!E198</x:f>
        <x:v>B</x:v>
      </x:c>
      <x:c r="C200" t="n">
        <x:f>'02_Loan_Portfolio'!L198</x:f>
        <x:v>0</x:v>
      </x:c>
      <x:c r="D200" t="n">
        <x:f>'02_Loan_Portfolio'!J198</x:f>
        <x:v>2.805</x:v>
      </x:c>
      <x:c r="E200" t="n">
        <x:f>'02_Loan_Portfolio'!K198</x:f>
        <x:v>3.706</x:v>
      </x:c>
      <x:c r="F200" t="str">
        <x:f>IF(OR(C200&gt;=30,D200&lt;1.1,E200&gt;5),"Red",IF(OR(C200&gt;0,D200&lt;1.3,E200&gt;4),"Amber","Green"))</x:f>
        <x:v>Green</x:v>
      </x:c>
      <x:c r="G200" t="str">
        <x:f>IF(C200&gt;=30,"DPD deterioration",IF(D200&lt;1.1,"DSCR weakness",IF(E200&gt;5,"High leverage","Normal")))</x:f>
        <x:v>Normal</x:v>
      </x:c>
    </x:row>
    <x:row r="201">
      <x:c r="A201" t="str">
        <x:f>'02_Loan_Portfolio'!A199</x:f>
        <x:v>LN00198</x:v>
      </x:c>
      <x:c r="B201" t="str">
        <x:f>'02_Loan_Portfolio'!E199</x:f>
        <x:v>AA</x:v>
      </x:c>
      <x:c r="C201" t="n">
        <x:f>'02_Loan_Portfolio'!L199</x:f>
        <x:v>0</x:v>
      </x:c>
      <x:c r="D201" t="n">
        <x:f>'02_Loan_Portfolio'!J199</x:f>
        <x:v>1.694</x:v>
      </x:c>
      <x:c r="E201" t="n">
        <x:f>'02_Loan_Portfolio'!K199</x:f>
        <x:v>3.41</x:v>
      </x:c>
      <x:c r="F201" t="str">
        <x:f>IF(OR(C201&gt;=30,D201&lt;1.1,E201&gt;5),"Red",IF(OR(C201&gt;0,D201&lt;1.3,E201&gt;4),"Amber","Green"))</x:f>
        <x:v>Green</x:v>
      </x:c>
      <x:c r="G201" t="str">
        <x:f>IF(C201&gt;=30,"DPD deterioration",IF(D201&lt;1.1,"DSCR weakness",IF(E201&gt;5,"High leverage","Normal")))</x:f>
        <x:v>Normal</x:v>
      </x:c>
    </x:row>
    <x:row r="202">
      <x:c r="A202" t="str">
        <x:f>'02_Loan_Portfolio'!A200</x:f>
        <x:v>LN00199</x:v>
      </x:c>
      <x:c r="B202" t="str">
        <x:f>'02_Loan_Portfolio'!E200</x:f>
        <x:v>BB</x:v>
      </x:c>
      <x:c r="C202" t="n">
        <x:f>'02_Loan_Portfolio'!L200</x:f>
        <x:v>0</x:v>
      </x:c>
      <x:c r="D202" t="n">
        <x:f>'02_Loan_Portfolio'!J200</x:f>
        <x:v>1.739</x:v>
      </x:c>
      <x:c r="E202" t="n">
        <x:f>'02_Loan_Portfolio'!K200</x:f>
        <x:v>3.059</x:v>
      </x:c>
      <x:c r="F202" t="str">
        <x:f>IF(OR(C202&gt;=30,D202&lt;1.1,E202&gt;5),"Red",IF(OR(C202&gt;0,D202&lt;1.3,E202&gt;4),"Amber","Green"))</x:f>
        <x:v>Green</x:v>
      </x:c>
      <x:c r="G202" t="str">
        <x:f>IF(C202&gt;=30,"DPD deterioration",IF(D202&lt;1.1,"DSCR weakness",IF(E202&gt;5,"High leverage","Normal")))</x:f>
        <x:v>Normal</x:v>
      </x:c>
    </x:row>
    <x:row r="203">
      <x:c r="A203" t="str">
        <x:f>'02_Loan_Portfolio'!A201</x:f>
        <x:v>LN00200</x:v>
      </x:c>
      <x:c r="B203" t="str">
        <x:f>'02_Loan_Portfolio'!E201</x:f>
        <x:v>B</x:v>
      </x:c>
      <x:c r="C203" t="n">
        <x:f>'02_Loan_Portfolio'!L201</x:f>
        <x:v>0</x:v>
      </x:c>
      <x:c r="D203" t="n">
        <x:f>'02_Loan_Portfolio'!J201</x:f>
        <x:v>1.255</x:v>
      </x:c>
      <x:c r="E203" t="n">
        <x:f>'02_Loan_Portfolio'!K201</x:f>
        <x:v>3.179</x:v>
      </x:c>
      <x:c r="F203" t="str">
        <x:f>IF(OR(C203&gt;=30,D203&lt;1.1,E203&gt;5),"Red",IF(OR(C203&gt;0,D203&lt;1.3,E203&gt;4),"Amber","Green"))</x:f>
        <x:v>Amber</x:v>
      </x:c>
      <x:c r="G203" t="str">
        <x:f>IF(C203&gt;=30,"DPD deterioration",IF(D203&lt;1.1,"DSCR weakness",IF(E203&gt;5,"High leverage","Normal")))</x:f>
        <x:v>Normal</x:v>
      </x:c>
    </x:row>
    <x:row r="204">
      <x:c r="A204" t="str">
        <x:f>'02_Loan_Portfolio'!A202</x:f>
        <x:v>LN00201</x:v>
      </x:c>
      <x:c r="B204" t="str">
        <x:f>'02_Loan_Portfolio'!E202</x:f>
        <x:v>CCC</x:v>
      </x:c>
      <x:c r="C204" t="n">
        <x:f>'02_Loan_Portfolio'!L202</x:f>
        <x:v>130</x:v>
      </x:c>
      <x:c r="D204" t="n">
        <x:f>'02_Loan_Portfolio'!J202</x:f>
        <x:v>2.273</x:v>
      </x:c>
      <x:c r="E204" t="n">
        <x:f>'02_Loan_Portfolio'!K202</x:f>
        <x:v>2.933</x:v>
      </x:c>
      <x:c r="F204" t="str">
        <x:f>IF(OR(C204&gt;=30,D204&lt;1.1,E204&gt;5),"Red",IF(OR(C204&gt;0,D204&lt;1.3,E204&gt;4),"Amber","Green"))</x:f>
        <x:v>Red</x:v>
      </x:c>
      <x:c r="G204" t="str">
        <x:f>IF(C204&gt;=30,"DPD deterioration",IF(D204&lt;1.1,"DSCR weakness",IF(E204&gt;5,"High leverage","Normal")))</x:f>
        <x:v>DPD deterioration</x:v>
      </x:c>
    </x:row>
    <x:row r="205">
      <x:c r="A205" t="str">
        <x:f>'02_Loan_Portfolio'!A203</x:f>
        <x:v>LN00202</x:v>
      </x:c>
      <x:c r="B205" t="str">
        <x:f>'02_Loan_Portfolio'!E203</x:f>
        <x:v>CCC</x:v>
      </x:c>
      <x:c r="C205" t="n">
        <x:f>'02_Loan_Portfolio'!L203</x:f>
        <x:v>65</x:v>
      </x:c>
      <x:c r="D205" t="n">
        <x:f>'02_Loan_Portfolio'!J203</x:f>
        <x:v>1.406</x:v>
      </x:c>
      <x:c r="E205" t="n">
        <x:f>'02_Loan_Portfolio'!K203</x:f>
        <x:v>0.265</x:v>
      </x:c>
      <x:c r="F205" t="str">
        <x:f>IF(OR(C205&gt;=30,D205&lt;1.1,E205&gt;5),"Red",IF(OR(C205&gt;0,D205&lt;1.3,E205&gt;4),"Amber","Green"))</x:f>
        <x:v>Red</x:v>
      </x:c>
      <x:c r="G205" t="str">
        <x:f>IF(C205&gt;=30,"DPD deterioration",IF(D205&lt;1.1,"DSCR weakness",IF(E205&gt;5,"High leverage","Normal")))</x:f>
        <x:v>DPD deterioration</x:v>
      </x:c>
    </x:row>
    <x:row r="206">
      <x:c r="A206" t="str">
        <x:f>'02_Loan_Portfolio'!A204</x:f>
        <x:v>LN00203</x:v>
      </x:c>
      <x:c r="B206" t="str">
        <x:f>'02_Loan_Portfolio'!E204</x:f>
        <x:v>CCC</x:v>
      </x:c>
      <x:c r="C206" t="n">
        <x:f>'02_Loan_Portfolio'!L204</x:f>
        <x:v>15</x:v>
      </x:c>
      <x:c r="D206" t="n">
        <x:f>'02_Loan_Portfolio'!J204</x:f>
        <x:v>2.058</x:v>
      </x:c>
      <x:c r="E206" t="n">
        <x:f>'02_Loan_Portfolio'!K204</x:f>
        <x:v>4.784</x:v>
      </x:c>
      <x:c r="F206" t="str">
        <x:f>IF(OR(C206&gt;=30,D206&lt;1.1,E206&gt;5),"Red",IF(OR(C206&gt;0,D206&lt;1.3,E206&gt;4),"Amber","Green"))</x:f>
        <x:v>Amber</x:v>
      </x:c>
      <x:c r="G206" t="str">
        <x:f>IF(C206&gt;=30,"DPD deterioration",IF(D206&lt;1.1,"DSCR weakness",IF(E206&gt;5,"High leverage","Normal")))</x:f>
        <x:v>Normal</x:v>
      </x:c>
    </x:row>
    <x:row r="207">
      <x:c r="A207" t="str">
        <x:f>'02_Loan_Portfolio'!A205</x:f>
        <x:v>LN00204</x:v>
      </x:c>
      <x:c r="B207" t="str">
        <x:f>'02_Loan_Portfolio'!E205</x:f>
        <x:v>AA</x:v>
      </x:c>
      <x:c r="C207" t="n">
        <x:f>'02_Loan_Portfolio'!L205</x:f>
        <x:v>0</x:v>
      </x:c>
      <x:c r="D207" t="n">
        <x:f>'02_Loan_Portfolio'!J205</x:f>
        <x:v>2.696</x:v>
      </x:c>
      <x:c r="E207" t="n">
        <x:f>'02_Loan_Portfolio'!K205</x:f>
        <x:v>0.467</x:v>
      </x:c>
      <x:c r="F207" t="str">
        <x:f>IF(OR(C207&gt;=30,D207&lt;1.1,E207&gt;5),"Red",IF(OR(C207&gt;0,D207&lt;1.3,E207&gt;4),"Amber","Green"))</x:f>
        <x:v>Green</x:v>
      </x:c>
      <x:c r="G207" t="str">
        <x:f>IF(C207&gt;=30,"DPD deterioration",IF(D207&lt;1.1,"DSCR weakness",IF(E207&gt;5,"High leverage","Normal")))</x:f>
        <x:v>Normal</x:v>
      </x:c>
    </x:row>
    <x:row r="208">
      <x:c r="A208" t="str">
        <x:f>'02_Loan_Portfolio'!A206</x:f>
        <x:v>LN00205</x:v>
      </x:c>
      <x:c r="B208" t="str">
        <x:f>'02_Loan_Portfolio'!E206</x:f>
        <x:v>BB</x:v>
      </x:c>
      <x:c r="C208" t="n">
        <x:f>'02_Loan_Portfolio'!L206</x:f>
        <x:v>15</x:v>
      </x:c>
      <x:c r="D208" t="n">
        <x:f>'02_Loan_Portfolio'!J206</x:f>
        <x:v>1.119</x:v>
      </x:c>
      <x:c r="E208" t="n">
        <x:f>'02_Loan_Portfolio'!K206</x:f>
        <x:v>4.685</x:v>
      </x:c>
      <x:c r="F208" t="str">
        <x:f>IF(OR(C208&gt;=30,D208&lt;1.1,E208&gt;5),"Red",IF(OR(C208&gt;0,D208&lt;1.3,E208&gt;4),"Amber","Green"))</x:f>
        <x:v>Amber</x:v>
      </x:c>
      <x:c r="G208" t="str">
        <x:f>IF(C208&gt;=30,"DPD deterioration",IF(D208&lt;1.1,"DSCR weakness",IF(E208&gt;5,"High leverage","Normal")))</x:f>
        <x:v>Normal</x:v>
      </x:c>
    </x:row>
    <x:row r="209">
      <x:c r="A209" t="str">
        <x:f>'02_Loan_Portfolio'!A207</x:f>
        <x:v>LN00206</x:v>
      </x:c>
      <x:c r="B209" t="str">
        <x:f>'02_Loan_Portfolio'!E207</x:f>
        <x:v>A</x:v>
      </x:c>
      <x:c r="C209" t="n">
        <x:f>'02_Loan_Portfolio'!L207</x:f>
        <x:v>15</x:v>
      </x:c>
      <x:c r="D209" t="n">
        <x:f>'02_Loan_Portfolio'!J207</x:f>
        <x:v>1.893</x:v>
      </x:c>
      <x:c r="E209" t="n">
        <x:f>'02_Loan_Portfolio'!K207</x:f>
        <x:v>1.403</x:v>
      </x:c>
      <x:c r="F209" t="str">
        <x:f>IF(OR(C209&gt;=30,D209&lt;1.1,E209&gt;5),"Red",IF(OR(C209&gt;0,D209&lt;1.3,E209&gt;4),"Amber","Green"))</x:f>
        <x:v>Amber</x:v>
      </x:c>
      <x:c r="G209" t="str">
        <x:f>IF(C209&gt;=30,"DPD deterioration",IF(D209&lt;1.1,"DSCR weakness",IF(E209&gt;5,"High leverage","Normal")))</x:f>
        <x:v>Normal</x:v>
      </x:c>
    </x:row>
    <x:row r="210">
      <x:c r="A210" t="str">
        <x:f>'02_Loan_Portfolio'!A208</x:f>
        <x:v>LN00207</x:v>
      </x:c>
      <x:c r="B210" t="str">
        <x:f>'02_Loan_Portfolio'!E208</x:f>
        <x:v>A</x:v>
      </x:c>
      <x:c r="C210" t="n">
        <x:f>'02_Loan_Portfolio'!L208</x:f>
        <x:v>0</x:v>
      </x:c>
      <x:c r="D210" t="n">
        <x:f>'02_Loan_Portfolio'!J208</x:f>
        <x:v>1.565</x:v>
      </x:c>
      <x:c r="E210" t="n">
        <x:f>'02_Loan_Portfolio'!K208</x:f>
        <x:v>2.11</x:v>
      </x:c>
      <x:c r="F210" t="str">
        <x:f>IF(OR(C210&gt;=30,D210&lt;1.1,E210&gt;5),"Red",IF(OR(C210&gt;0,D210&lt;1.3,E210&gt;4),"Amber","Green"))</x:f>
        <x:v>Green</x:v>
      </x:c>
      <x:c r="G210" t="str">
        <x:f>IF(C210&gt;=30,"DPD deterioration",IF(D210&lt;1.1,"DSCR weakness",IF(E210&gt;5,"High leverage","Normal")))</x:f>
        <x:v>Normal</x:v>
      </x:c>
    </x:row>
    <x:row r="211">
      <x:c r="A211" t="str">
        <x:f>'02_Loan_Portfolio'!A209</x:f>
        <x:v>LN00208</x:v>
      </x:c>
      <x:c r="B211" t="str">
        <x:f>'02_Loan_Portfolio'!E209</x:f>
        <x:v>AAA</x:v>
      </x:c>
      <x:c r="C211" t="n">
        <x:f>'02_Loan_Portfolio'!L209</x:f>
        <x:v>0</x:v>
      </x:c>
      <x:c r="D211" t="n">
        <x:f>'02_Loan_Portfolio'!J209</x:f>
        <x:v>1.264</x:v>
      </x:c>
      <x:c r="E211" t="n">
        <x:f>'02_Loan_Portfolio'!K209</x:f>
        <x:v>3.259</x:v>
      </x:c>
      <x:c r="F211" t="str">
        <x:f>IF(OR(C211&gt;=30,D211&lt;1.1,E211&gt;5),"Red",IF(OR(C211&gt;0,D211&lt;1.3,E211&gt;4),"Amber","Green"))</x:f>
        <x:v>Amber</x:v>
      </x:c>
      <x:c r="G211" t="str">
        <x:f>IF(C211&gt;=30,"DPD deterioration",IF(D211&lt;1.1,"DSCR weakness",IF(E211&gt;5,"High leverage","Normal")))</x:f>
        <x:v>Normal</x:v>
      </x:c>
    </x:row>
    <x:row r="212">
      <x:c r="A212" t="str">
        <x:f>'02_Loan_Portfolio'!A210</x:f>
        <x:v>LN00209</x:v>
      </x:c>
      <x:c r="B212" t="str">
        <x:f>'02_Loan_Portfolio'!E210</x:f>
        <x:v>BBB</x:v>
      </x:c>
      <x:c r="C212" t="n">
        <x:f>'02_Loan_Portfolio'!L210</x:f>
        <x:v>0</x:v>
      </x:c>
      <x:c r="D212" t="n">
        <x:f>'02_Loan_Portfolio'!J210</x:f>
        <x:v>1.951</x:v>
      </x:c>
      <x:c r="E212" t="n">
        <x:f>'02_Loan_Portfolio'!K210</x:f>
        <x:v>1.589</x:v>
      </x:c>
      <x:c r="F212" t="str">
        <x:f>IF(OR(C212&gt;=30,D212&lt;1.1,E212&gt;5),"Red",IF(OR(C212&gt;0,D212&lt;1.3,E212&gt;4),"Amber","Green"))</x:f>
        <x:v>Green</x:v>
      </x:c>
      <x:c r="G212" t="str">
        <x:f>IF(C212&gt;=30,"DPD deterioration",IF(D212&lt;1.1,"DSCR weakness",IF(E212&gt;5,"High leverage","Normal")))</x:f>
        <x:v>Normal</x:v>
      </x:c>
    </x:row>
    <x:row r="213">
      <x:c r="A213" t="str">
        <x:f>'02_Loan_Portfolio'!A211</x:f>
        <x:v>LN00210</x:v>
      </x:c>
      <x:c r="B213" t="str">
        <x:f>'02_Loan_Portfolio'!E211</x:f>
        <x:v>AA</x:v>
      </x:c>
      <x:c r="C213" t="n">
        <x:f>'02_Loan_Portfolio'!L211</x:f>
        <x:v>65</x:v>
      </x:c>
      <x:c r="D213" t="n">
        <x:f>'02_Loan_Portfolio'!J211</x:f>
        <x:v>1.074</x:v>
      </x:c>
      <x:c r="E213" t="n">
        <x:f>'02_Loan_Portfolio'!K211</x:f>
        <x:v>6.509</x:v>
      </x:c>
      <x:c r="F213" t="str">
        <x:f>IF(OR(C213&gt;=30,D213&lt;1.1,E213&gt;5),"Red",IF(OR(C213&gt;0,D213&lt;1.3,E213&gt;4),"Amber","Green"))</x:f>
        <x:v>Red</x:v>
      </x:c>
      <x:c r="G213" t="str">
        <x:f>IF(C213&gt;=30,"DPD deterioration",IF(D213&lt;1.1,"DSCR weakness",IF(E213&gt;5,"High leverage","Normal")))</x:f>
        <x:v>DPD deterioration</x:v>
      </x:c>
    </x:row>
    <x:row r="214">
      <x:c r="A214" t="str">
        <x:f>'02_Loan_Portfolio'!A212</x:f>
        <x:v>LN00211</x:v>
      </x:c>
      <x:c r="B214" t="str">
        <x:f>'02_Loan_Portfolio'!E212</x:f>
        <x:v>A</x:v>
      </x:c>
      <x:c r="C214" t="n">
        <x:f>'02_Loan_Portfolio'!L212</x:f>
        <x:v>0</x:v>
      </x:c>
      <x:c r="D214" t="n">
        <x:f>'02_Loan_Portfolio'!J212</x:f>
        <x:v>1.806</x:v>
      </x:c>
      <x:c r="E214" t="n">
        <x:f>'02_Loan_Portfolio'!K212</x:f>
        <x:v>4.078</x:v>
      </x:c>
      <x:c r="F214" t="str">
        <x:f>IF(OR(C214&gt;=30,D214&lt;1.1,E214&gt;5),"Red",IF(OR(C214&gt;0,D214&lt;1.3,E214&gt;4),"Amber","Green"))</x:f>
        <x:v>Amber</x:v>
      </x:c>
      <x:c r="G214" t="str">
        <x:f>IF(C214&gt;=30,"DPD deterioration",IF(D214&lt;1.1,"DSCR weakness",IF(E214&gt;5,"High leverage","Normal")))</x:f>
        <x:v>Normal</x:v>
      </x:c>
    </x:row>
    <x:row r="215">
      <x:c r="A215" t="str">
        <x:f>'02_Loan_Portfolio'!A213</x:f>
        <x:v>LN00212</x:v>
      </x:c>
      <x:c r="B215" t="str">
        <x:f>'02_Loan_Portfolio'!E213</x:f>
        <x:v>A</x:v>
      </x:c>
      <x:c r="C215" t="n">
        <x:f>'02_Loan_Portfolio'!L213</x:f>
        <x:v>0</x:v>
      </x:c>
      <x:c r="D215" t="n">
        <x:f>'02_Loan_Portfolio'!J213</x:f>
        <x:v>1.462</x:v>
      </x:c>
      <x:c r="E215" t="n">
        <x:f>'02_Loan_Portfolio'!K213</x:f>
        <x:v>2.955</x:v>
      </x:c>
      <x:c r="F215" t="str">
        <x:f>IF(OR(C215&gt;=30,D215&lt;1.1,E215&gt;5),"Red",IF(OR(C215&gt;0,D215&lt;1.3,E215&gt;4),"Amber","Green"))</x:f>
        <x:v>Green</x:v>
      </x:c>
      <x:c r="G215" t="str">
        <x:f>IF(C215&gt;=30,"DPD deterioration",IF(D215&lt;1.1,"DSCR weakness",IF(E215&gt;5,"High leverage","Normal")))</x:f>
        <x:v>Normal</x:v>
      </x:c>
    </x:row>
    <x:row r="216">
      <x:c r="A216" t="str">
        <x:f>'02_Loan_Portfolio'!A214</x:f>
        <x:v>LN00213</x:v>
      </x:c>
      <x:c r="B216" t="str">
        <x:f>'02_Loan_Portfolio'!E214</x:f>
        <x:v>BBB</x:v>
      </x:c>
      <x:c r="C216" t="n">
        <x:f>'02_Loan_Portfolio'!L214</x:f>
        <x:v>0</x:v>
      </x:c>
      <x:c r="D216" t="n">
        <x:f>'02_Loan_Portfolio'!J214</x:f>
        <x:v>0.93</x:v>
      </x:c>
      <x:c r="E216" t="n">
        <x:f>'02_Loan_Portfolio'!K214</x:f>
        <x:v>1.182</x:v>
      </x:c>
      <x:c r="F216" t="str">
        <x:f>IF(OR(C216&gt;=30,D216&lt;1.1,E216&gt;5),"Red",IF(OR(C216&gt;0,D216&lt;1.3,E216&gt;4),"Amber","Green"))</x:f>
        <x:v>Red</x:v>
      </x:c>
      <x:c r="G216" t="str">
        <x:f>IF(C216&gt;=30,"DPD deterioration",IF(D216&lt;1.1,"DSCR weakness",IF(E216&gt;5,"High leverage","Normal")))</x:f>
        <x:v>DSCR weakness</x:v>
      </x:c>
    </x:row>
    <x:row r="217">
      <x:c r="A217" t="str">
        <x:f>'02_Loan_Portfolio'!A215</x:f>
        <x:v>LN00214</x:v>
      </x:c>
      <x:c r="B217" t="str">
        <x:f>'02_Loan_Portfolio'!E215</x:f>
        <x:v>B</x:v>
      </x:c>
      <x:c r="C217" t="n">
        <x:f>'02_Loan_Portfolio'!L215</x:f>
        <x:v>0</x:v>
      </x:c>
      <x:c r="D217" t="n">
        <x:f>'02_Loan_Portfolio'!J215</x:f>
        <x:v>1.202</x:v>
      </x:c>
      <x:c r="E217" t="n">
        <x:f>'02_Loan_Portfolio'!K215</x:f>
        <x:v>2.469</x:v>
      </x:c>
      <x:c r="F217" t="str">
        <x:f>IF(OR(C217&gt;=30,D217&lt;1.1,E217&gt;5),"Red",IF(OR(C217&gt;0,D217&lt;1.3,E217&gt;4),"Amber","Green"))</x:f>
        <x:v>Amber</x:v>
      </x:c>
      <x:c r="G217" t="str">
        <x:f>IF(C217&gt;=30,"DPD deterioration",IF(D217&lt;1.1,"DSCR weakness",IF(E217&gt;5,"High leverage","Normal")))</x:f>
        <x:v>Normal</x:v>
      </x:c>
    </x:row>
    <x:row r="218">
      <x:c r="A218" t="str">
        <x:f>'02_Loan_Portfolio'!A216</x:f>
        <x:v>LN00215</x:v>
      </x:c>
      <x:c r="B218" t="str">
        <x:f>'02_Loan_Portfolio'!E216</x:f>
        <x:v>B</x:v>
      </x:c>
      <x:c r="C218" t="n">
        <x:f>'02_Loan_Portfolio'!L216</x:f>
        <x:v>0</x:v>
      </x:c>
      <x:c r="D218" t="n">
        <x:f>'02_Loan_Portfolio'!J216</x:f>
        <x:v>1.787</x:v>
      </x:c>
      <x:c r="E218" t="n">
        <x:f>'02_Loan_Portfolio'!K216</x:f>
        <x:v>3.745</x:v>
      </x:c>
      <x:c r="F218" t="str">
        <x:f>IF(OR(C218&gt;=30,D218&lt;1.1,E218&gt;5),"Red",IF(OR(C218&gt;0,D218&lt;1.3,E218&gt;4),"Amber","Green"))</x:f>
        <x:v>Green</x:v>
      </x:c>
      <x:c r="G218" t="str">
        <x:f>IF(C218&gt;=30,"DPD deterioration",IF(D218&lt;1.1,"DSCR weakness",IF(E218&gt;5,"High leverage","Normal")))</x:f>
        <x:v>Normal</x:v>
      </x:c>
    </x:row>
    <x:row r="219">
      <x:c r="A219" t="str">
        <x:f>'02_Loan_Portfolio'!A217</x:f>
        <x:v>LN00216</x:v>
      </x:c>
      <x:c r="B219" t="str">
        <x:f>'02_Loan_Portfolio'!E217</x:f>
        <x:v>BBB</x:v>
      </x:c>
      <x:c r="C219" t="n">
        <x:f>'02_Loan_Portfolio'!L217</x:f>
        <x:v>0</x:v>
      </x:c>
      <x:c r="D219" t="n">
        <x:f>'02_Loan_Portfolio'!J217</x:f>
        <x:v>1.232</x:v>
      </x:c>
      <x:c r="E219" t="n">
        <x:f>'02_Loan_Portfolio'!K217</x:f>
        <x:v>2.994</x:v>
      </x:c>
      <x:c r="F219" t="str">
        <x:f>IF(OR(C219&gt;=30,D219&lt;1.1,E219&gt;5),"Red",IF(OR(C219&gt;0,D219&lt;1.3,E219&gt;4),"Amber","Green"))</x:f>
        <x:v>Amber</x:v>
      </x:c>
      <x:c r="G219" t="str">
        <x:f>IF(C219&gt;=30,"DPD deterioration",IF(D219&lt;1.1,"DSCR weakness",IF(E219&gt;5,"High leverage","Normal")))</x:f>
        <x:v>Normal</x:v>
      </x:c>
    </x:row>
    <x:row r="220">
      <x:c r="A220" t="str">
        <x:f>'02_Loan_Portfolio'!A218</x:f>
        <x:v>LN00217</x:v>
      </x:c>
      <x:c r="B220" t="str">
        <x:f>'02_Loan_Portfolio'!E218</x:f>
        <x:v>B</x:v>
      </x:c>
      <x:c r="C220" t="n">
        <x:f>'02_Loan_Portfolio'!L218</x:f>
        <x:v>5</x:v>
      </x:c>
      <x:c r="D220" t="n">
        <x:f>'02_Loan_Portfolio'!J218</x:f>
        <x:v>1.208</x:v>
      </x:c>
      <x:c r="E220" t="n">
        <x:f>'02_Loan_Portfolio'!K218</x:f>
        <x:v>2.352</x:v>
      </x:c>
      <x:c r="F220" t="str">
        <x:f>IF(OR(C220&gt;=30,D220&lt;1.1,E220&gt;5),"Red",IF(OR(C220&gt;0,D220&lt;1.3,E220&gt;4),"Amber","Green"))</x:f>
        <x:v>Amber</x:v>
      </x:c>
      <x:c r="G220" t="str">
        <x:f>IF(C220&gt;=30,"DPD deterioration",IF(D220&lt;1.1,"DSCR weakness",IF(E220&gt;5,"High leverage","Normal")))</x:f>
        <x:v>Normal</x:v>
      </x:c>
    </x:row>
    <x:row r="221">
      <x:c r="A221" t="str">
        <x:f>'02_Loan_Portfolio'!A219</x:f>
        <x:v>LN00218</x:v>
      </x:c>
      <x:c r="B221" t="str">
        <x:f>'02_Loan_Portfolio'!E219</x:f>
        <x:v>BBB</x:v>
      </x:c>
      <x:c r="C221" t="n">
        <x:f>'02_Loan_Portfolio'!L219</x:f>
        <x:v>5</x:v>
      </x:c>
      <x:c r="D221" t="n">
        <x:f>'02_Loan_Portfolio'!J219</x:f>
        <x:v>1.929</x:v>
      </x:c>
      <x:c r="E221" t="n">
        <x:f>'02_Loan_Portfolio'!K219</x:f>
        <x:v>2.037</x:v>
      </x:c>
      <x:c r="F221" t="str">
        <x:f>IF(OR(C221&gt;=30,D221&lt;1.1,E221&gt;5),"Red",IF(OR(C221&gt;0,D221&lt;1.3,E221&gt;4),"Amber","Green"))</x:f>
        <x:v>Amber</x:v>
      </x:c>
      <x:c r="G221" t="str">
        <x:f>IF(C221&gt;=30,"DPD deterioration",IF(D221&lt;1.1,"DSCR weakness",IF(E221&gt;5,"High leverage","Normal")))</x:f>
        <x:v>Normal</x:v>
      </x:c>
    </x:row>
    <x:row r="222">
      <x:c r="A222" t="str">
        <x:f>'02_Loan_Portfolio'!A220</x:f>
        <x:v>LN00219</x:v>
      </x:c>
      <x:c r="B222" t="str">
        <x:f>'02_Loan_Portfolio'!E220</x:f>
        <x:v>BBB</x:v>
      </x:c>
      <x:c r="C222" t="n">
        <x:f>'02_Loan_Portfolio'!L220</x:f>
        <x:v>15</x:v>
      </x:c>
      <x:c r="D222" t="n">
        <x:f>'02_Loan_Portfolio'!J220</x:f>
        <x:v>2.151</x:v>
      </x:c>
      <x:c r="E222" t="n">
        <x:f>'02_Loan_Portfolio'!K220</x:f>
        <x:v>4.231</x:v>
      </x:c>
      <x:c r="F222" t="str">
        <x:f>IF(OR(C222&gt;=30,D222&lt;1.1,E222&gt;5),"Red",IF(OR(C222&gt;0,D222&lt;1.3,E222&gt;4),"Amber","Green"))</x:f>
        <x:v>Amber</x:v>
      </x:c>
      <x:c r="G222" t="str">
        <x:f>IF(C222&gt;=30,"DPD deterioration",IF(D222&lt;1.1,"DSCR weakness",IF(E222&gt;5,"High leverage","Normal")))</x:f>
        <x:v>Normal</x:v>
      </x:c>
    </x:row>
    <x:row r="223">
      <x:c r="A223" t="str">
        <x:f>'02_Loan_Portfolio'!A221</x:f>
        <x:v>LN00220</x:v>
      </x:c>
      <x:c r="B223" t="str">
        <x:f>'02_Loan_Portfolio'!E221</x:f>
        <x:v>BB</x:v>
      </x:c>
      <x:c r="C223" t="n">
        <x:f>'02_Loan_Portfolio'!L221</x:f>
        <x:v>0</x:v>
      </x:c>
      <x:c r="D223" t="n">
        <x:f>'02_Loan_Portfolio'!J221</x:f>
        <x:v>2.166</x:v>
      </x:c>
      <x:c r="E223" t="n">
        <x:f>'02_Loan_Portfolio'!K221</x:f>
        <x:v>5.679</x:v>
      </x:c>
      <x:c r="F223" t="str">
        <x:f>IF(OR(C223&gt;=30,D223&lt;1.1,E223&gt;5),"Red",IF(OR(C223&gt;0,D223&lt;1.3,E223&gt;4),"Amber","Green"))</x:f>
        <x:v>Red</x:v>
      </x:c>
      <x:c r="G223" t="str">
        <x:f>IF(C223&gt;=30,"DPD deterioration",IF(D223&lt;1.1,"DSCR weakness",IF(E223&gt;5,"High leverage","Normal")))</x:f>
        <x:v>High leverage</x:v>
      </x:c>
    </x:row>
    <x:row r="224">
      <x:c r="A224" t="str">
        <x:f>'02_Loan_Portfolio'!A222</x:f>
        <x:v>LN00221</x:v>
      </x:c>
      <x:c r="B224" t="str">
        <x:f>'02_Loan_Portfolio'!E222</x:f>
        <x:v>B</x:v>
      </x:c>
      <x:c r="C224" t="n">
        <x:f>'02_Loan_Portfolio'!L222</x:f>
        <x:v>0</x:v>
      </x:c>
      <x:c r="D224" t="n">
        <x:f>'02_Loan_Portfolio'!J222</x:f>
        <x:v>2.33</x:v>
      </x:c>
      <x:c r="E224" t="n">
        <x:f>'02_Loan_Portfolio'!K222</x:f>
        <x:v>4.444</x:v>
      </x:c>
      <x:c r="F224" t="str">
        <x:f>IF(OR(C224&gt;=30,D224&lt;1.1,E224&gt;5),"Red",IF(OR(C224&gt;0,D224&lt;1.3,E224&gt;4),"Amber","Green"))</x:f>
        <x:v>Amber</x:v>
      </x:c>
      <x:c r="G224" t="str">
        <x:f>IF(C224&gt;=30,"DPD deterioration",IF(D224&lt;1.1,"DSCR weakness",IF(E224&gt;5,"High leverage","Normal")))</x:f>
        <x:v>Normal</x:v>
      </x:c>
    </x:row>
    <x:row r="225">
      <x:c r="A225" t="str">
        <x:f>'02_Loan_Portfolio'!A223</x:f>
        <x:v>LN00222</x:v>
      </x:c>
      <x:c r="B225" t="str">
        <x:f>'02_Loan_Portfolio'!E223</x:f>
        <x:v>AA</x:v>
      </x:c>
      <x:c r="C225" t="n">
        <x:f>'02_Loan_Portfolio'!L223</x:f>
        <x:v>0</x:v>
      </x:c>
      <x:c r="D225" t="n">
        <x:f>'02_Loan_Portfolio'!J223</x:f>
        <x:v>1.303</x:v>
      </x:c>
      <x:c r="E225" t="n">
        <x:f>'02_Loan_Portfolio'!K223</x:f>
        <x:v>1.516</x:v>
      </x:c>
      <x:c r="F225" t="str">
        <x:f>IF(OR(C225&gt;=30,D225&lt;1.1,E225&gt;5),"Red",IF(OR(C225&gt;0,D225&lt;1.3,E225&gt;4),"Amber","Green"))</x:f>
        <x:v>Green</x:v>
      </x:c>
      <x:c r="G225" t="str">
        <x:f>IF(C225&gt;=30,"DPD deterioration",IF(D225&lt;1.1,"DSCR weakness",IF(E225&gt;5,"High leverage","Normal")))</x:f>
        <x:v>Normal</x:v>
      </x:c>
    </x:row>
    <x:row r="226">
      <x:c r="A226" t="str">
        <x:f>'02_Loan_Portfolio'!A224</x:f>
        <x:v>LN00223</x:v>
      </x:c>
      <x:c r="B226" t="str">
        <x:f>'02_Loan_Portfolio'!E224</x:f>
        <x:v>B</x:v>
      </x:c>
      <x:c r="C226" t="n">
        <x:f>'02_Loan_Portfolio'!L224</x:f>
        <x:v>0</x:v>
      </x:c>
      <x:c r="D226" t="n">
        <x:f>'02_Loan_Portfolio'!J224</x:f>
        <x:v>1.358</x:v>
      </x:c>
      <x:c r="E226" t="n">
        <x:f>'02_Loan_Portfolio'!K224</x:f>
        <x:v>5.166</x:v>
      </x:c>
      <x:c r="F226" t="str">
        <x:f>IF(OR(C226&gt;=30,D226&lt;1.1,E226&gt;5),"Red",IF(OR(C226&gt;0,D226&lt;1.3,E226&gt;4),"Amber","Green"))</x:f>
        <x:v>Red</x:v>
      </x:c>
      <x:c r="G226" t="str">
        <x:f>IF(C226&gt;=30,"DPD deterioration",IF(D226&lt;1.1,"DSCR weakness",IF(E226&gt;5,"High leverage","Normal")))</x:f>
        <x:v>High leverage</x:v>
      </x:c>
    </x:row>
    <x:row r="227">
      <x:c r="A227" t="str">
        <x:f>'02_Loan_Portfolio'!A225</x:f>
        <x:v>LN00224</x:v>
      </x:c>
      <x:c r="B227" t="str">
        <x:f>'02_Loan_Portfolio'!E225</x:f>
        <x:v>BB</x:v>
      </x:c>
      <x:c r="C227" t="n">
        <x:f>'02_Loan_Portfolio'!L225</x:f>
        <x:v>5</x:v>
      </x:c>
      <x:c r="D227" t="n">
        <x:f>'02_Loan_Portfolio'!J225</x:f>
        <x:v>2.176</x:v>
      </x:c>
      <x:c r="E227" t="n">
        <x:f>'02_Loan_Portfolio'!K225</x:f>
        <x:v>1.679</x:v>
      </x:c>
      <x:c r="F227" t="str">
        <x:f>IF(OR(C227&gt;=30,D227&lt;1.1,E227&gt;5),"Red",IF(OR(C227&gt;0,D227&lt;1.3,E227&gt;4),"Amber","Green"))</x:f>
        <x:v>Amber</x:v>
      </x:c>
      <x:c r="G227" t="str">
        <x:f>IF(C227&gt;=30,"DPD deterioration",IF(D227&lt;1.1,"DSCR weakness",IF(E227&gt;5,"High leverage","Normal")))</x:f>
        <x:v>Normal</x:v>
      </x:c>
    </x:row>
    <x:row r="228">
      <x:c r="A228" t="str">
        <x:f>'02_Loan_Portfolio'!A226</x:f>
        <x:v>LN00225</x:v>
      </x:c>
      <x:c r="B228" t="str">
        <x:f>'02_Loan_Portfolio'!E226</x:f>
        <x:v>BBB</x:v>
      </x:c>
      <x:c r="C228" t="n">
        <x:f>'02_Loan_Portfolio'!L226</x:f>
        <x:v>5</x:v>
      </x:c>
      <x:c r="D228" t="n">
        <x:f>'02_Loan_Portfolio'!J226</x:f>
        <x:v>2.558</x:v>
      </x:c>
      <x:c r="E228" t="n">
        <x:f>'02_Loan_Portfolio'!K226</x:f>
        <x:v>5.246</x:v>
      </x:c>
      <x:c r="F228" t="str">
        <x:f>IF(OR(C228&gt;=30,D228&lt;1.1,E228&gt;5),"Red",IF(OR(C228&gt;0,D228&lt;1.3,E228&gt;4),"Amber","Green"))</x:f>
        <x:v>Red</x:v>
      </x:c>
      <x:c r="G228" t="str">
        <x:f>IF(C228&gt;=30,"DPD deterioration",IF(D228&lt;1.1,"DSCR weakness",IF(E228&gt;5,"High leverage","Normal")))</x:f>
        <x:v>High leverage</x:v>
      </x:c>
    </x:row>
    <x:row r="229">
      <x:c r="A229" t="str">
        <x:f>'02_Loan_Portfolio'!A227</x:f>
        <x:v>LN00226</x:v>
      </x:c>
      <x:c r="B229" t="str">
        <x:f>'02_Loan_Portfolio'!E227</x:f>
        <x:v>BBB</x:v>
      </x:c>
      <x:c r="C229" t="n">
        <x:f>'02_Loan_Portfolio'!L227</x:f>
        <x:v>5</x:v>
      </x:c>
      <x:c r="D229" t="n">
        <x:f>'02_Loan_Portfolio'!J227</x:f>
        <x:v>2.811</x:v>
      </x:c>
      <x:c r="E229" t="n">
        <x:f>'02_Loan_Portfolio'!K227</x:f>
        <x:v>3.115</x:v>
      </x:c>
      <x:c r="F229" t="str">
        <x:f>IF(OR(C229&gt;=30,D229&lt;1.1,E229&gt;5),"Red",IF(OR(C229&gt;0,D229&lt;1.3,E229&gt;4),"Amber","Green"))</x:f>
        <x:v>Amber</x:v>
      </x:c>
      <x:c r="G229" t="str">
        <x:f>IF(C229&gt;=30,"DPD deterioration",IF(D229&lt;1.1,"DSCR weakness",IF(E229&gt;5,"High leverage","Normal")))</x:f>
        <x:v>Normal</x:v>
      </x:c>
    </x:row>
    <x:row r="230">
      <x:c r="A230" t="str">
        <x:f>'02_Loan_Portfolio'!A228</x:f>
        <x:v>LN00227</x:v>
      </x:c>
      <x:c r="B230" t="str">
        <x:f>'02_Loan_Portfolio'!E228</x:f>
        <x:v>BBB</x:v>
      </x:c>
      <x:c r="C230" t="n">
        <x:f>'02_Loan_Portfolio'!L228</x:f>
        <x:v>35</x:v>
      </x:c>
      <x:c r="D230" t="n">
        <x:f>'02_Loan_Portfolio'!J228</x:f>
        <x:v>1.965</x:v>
      </x:c>
      <x:c r="E230" t="n">
        <x:f>'02_Loan_Portfolio'!K228</x:f>
        <x:v>2.922</x:v>
      </x:c>
      <x:c r="F230" t="str">
        <x:f>IF(OR(C230&gt;=30,D230&lt;1.1,E230&gt;5),"Red",IF(OR(C230&gt;0,D230&lt;1.3,E230&gt;4),"Amber","Green"))</x:f>
        <x:v>Red</x:v>
      </x:c>
      <x:c r="G230" t="str">
        <x:f>IF(C230&gt;=30,"DPD deterioration",IF(D230&lt;1.1,"DSCR weakness",IF(E230&gt;5,"High leverage","Normal")))</x:f>
        <x:v>DPD deterioration</x:v>
      </x:c>
    </x:row>
    <x:row r="231">
      <x:c r="A231" t="str">
        <x:f>'02_Loan_Portfolio'!A229</x:f>
        <x:v>LN00228</x:v>
      </x:c>
      <x:c r="B231" t="str">
        <x:f>'02_Loan_Portfolio'!E229</x:f>
        <x:v>B</x:v>
      </x:c>
      <x:c r="C231" t="n">
        <x:f>'02_Loan_Portfolio'!L229</x:f>
        <x:v>0</x:v>
      </x:c>
      <x:c r="D231" t="n">
        <x:f>'02_Loan_Portfolio'!J229</x:f>
        <x:v>1.507</x:v>
      </x:c>
      <x:c r="E231" t="n">
        <x:f>'02_Loan_Portfolio'!K229</x:f>
        <x:v>5.829</x:v>
      </x:c>
      <x:c r="F231" t="str">
        <x:f>IF(OR(C231&gt;=30,D231&lt;1.1,E231&gt;5),"Red",IF(OR(C231&gt;0,D231&lt;1.3,E231&gt;4),"Amber","Green"))</x:f>
        <x:v>Red</x:v>
      </x:c>
      <x:c r="G231" t="str">
        <x:f>IF(C231&gt;=30,"DPD deterioration",IF(D231&lt;1.1,"DSCR weakness",IF(E231&gt;5,"High leverage","Normal")))</x:f>
        <x:v>High leverage</x:v>
      </x:c>
    </x:row>
    <x:row r="232">
      <x:c r="A232" t="str">
        <x:f>'02_Loan_Portfolio'!A230</x:f>
        <x:v>LN00229</x:v>
      </x:c>
      <x:c r="B232" t="str">
        <x:f>'02_Loan_Portfolio'!E230</x:f>
        <x:v>A</x:v>
      </x:c>
      <x:c r="C232" t="n">
        <x:f>'02_Loan_Portfolio'!L230</x:f>
        <x:v>0</x:v>
      </x:c>
      <x:c r="D232" t="n">
        <x:f>'02_Loan_Portfolio'!J230</x:f>
        <x:v>3.194</x:v>
      </x:c>
      <x:c r="E232" t="n">
        <x:f>'02_Loan_Portfolio'!K230</x:f>
        <x:v>0.927</x:v>
      </x:c>
      <x:c r="F232" t="str">
        <x:f>IF(OR(C232&gt;=30,D232&lt;1.1,E232&gt;5),"Red",IF(OR(C232&gt;0,D232&lt;1.3,E232&gt;4),"Amber","Green"))</x:f>
        <x:v>Green</x:v>
      </x:c>
      <x:c r="G232" t="str">
        <x:f>IF(C232&gt;=30,"DPD deterioration",IF(D232&lt;1.1,"DSCR weakness",IF(E232&gt;5,"High leverage","Normal")))</x:f>
        <x:v>Normal</x:v>
      </x:c>
    </x:row>
    <x:row r="233">
      <x:c r="A233" t="str">
        <x:f>'02_Loan_Portfolio'!A231</x:f>
        <x:v>LN00230</x:v>
      </x:c>
      <x:c r="B233" t="str">
        <x:f>'02_Loan_Portfolio'!E231</x:f>
        <x:v>BBB</x:v>
      </x:c>
      <x:c r="C233" t="n">
        <x:f>'02_Loan_Portfolio'!L231</x:f>
        <x:v>15</x:v>
      </x:c>
      <x:c r="D233" t="n">
        <x:f>'02_Loan_Portfolio'!J231</x:f>
        <x:v>2.039</x:v>
      </x:c>
      <x:c r="E233" t="n">
        <x:f>'02_Loan_Portfolio'!K231</x:f>
        <x:v>5.535</x:v>
      </x:c>
      <x:c r="F233" t="str">
        <x:f>IF(OR(C233&gt;=30,D233&lt;1.1,E233&gt;5),"Red",IF(OR(C233&gt;0,D233&lt;1.3,E233&gt;4),"Amber","Green"))</x:f>
        <x:v>Red</x:v>
      </x:c>
      <x:c r="G233" t="str">
        <x:f>IF(C233&gt;=30,"DPD deterioration",IF(D233&lt;1.1,"DSCR weakness",IF(E233&gt;5,"High leverage","Normal")))</x:f>
        <x:v>High leverage</x:v>
      </x:c>
    </x:row>
    <x:row r="234">
      <x:c r="A234" t="str">
        <x:f>'02_Loan_Portfolio'!A232</x:f>
        <x:v>LN00231</x:v>
      </x:c>
      <x:c r="B234" t="str">
        <x:f>'02_Loan_Portfolio'!E232</x:f>
        <x:v>BBB</x:v>
      </x:c>
      <x:c r="C234" t="n">
        <x:f>'02_Loan_Portfolio'!L232</x:f>
        <x:v>5</x:v>
      </x:c>
      <x:c r="D234" t="n">
        <x:f>'02_Loan_Portfolio'!J232</x:f>
        <x:v>2.305</x:v>
      </x:c>
      <x:c r="E234" t="n">
        <x:f>'02_Loan_Portfolio'!K232</x:f>
        <x:v>4.43</x:v>
      </x:c>
      <x:c r="F234" t="str">
        <x:f>IF(OR(C234&gt;=30,D234&lt;1.1,E234&gt;5),"Red",IF(OR(C234&gt;0,D234&lt;1.3,E234&gt;4),"Amber","Green"))</x:f>
        <x:v>Amber</x:v>
      </x:c>
      <x:c r="G234" t="str">
        <x:f>IF(C234&gt;=30,"DPD deterioration",IF(D234&lt;1.1,"DSCR weakness",IF(E234&gt;5,"High leverage","Normal")))</x:f>
        <x:v>Normal</x:v>
      </x:c>
    </x:row>
    <x:row r="235">
      <x:c r="A235" t="str">
        <x:f>'02_Loan_Portfolio'!A233</x:f>
        <x:v>LN00232</x:v>
      </x:c>
      <x:c r="B235" t="str">
        <x:f>'02_Loan_Portfolio'!E233</x:f>
        <x:v>A</x:v>
      </x:c>
      <x:c r="C235" t="n">
        <x:f>'02_Loan_Portfolio'!L233</x:f>
        <x:v>0</x:v>
      </x:c>
      <x:c r="D235" t="n">
        <x:f>'02_Loan_Portfolio'!J233</x:f>
        <x:v>3.085</x:v>
      </x:c>
      <x:c r="E235" t="n">
        <x:f>'02_Loan_Portfolio'!K233</x:f>
        <x:v>4.166</x:v>
      </x:c>
      <x:c r="F235" t="str">
        <x:f>IF(OR(C235&gt;=30,D235&lt;1.1,E235&gt;5),"Red",IF(OR(C235&gt;0,D235&lt;1.3,E235&gt;4),"Amber","Green"))</x:f>
        <x:v>Amber</x:v>
      </x:c>
      <x:c r="G235" t="str">
        <x:f>IF(C235&gt;=30,"DPD deterioration",IF(D235&lt;1.1,"DSCR weakness",IF(E235&gt;5,"High leverage","Normal")))</x:f>
        <x:v>Normal</x:v>
      </x:c>
    </x:row>
    <x:row r="236">
      <x:c r="A236" t="str">
        <x:f>'02_Loan_Portfolio'!A234</x:f>
        <x:v>LN00233</x:v>
      </x:c>
      <x:c r="B236" t="str">
        <x:f>'02_Loan_Portfolio'!E234</x:f>
        <x:v>CCC</x:v>
      </x:c>
      <x:c r="C236" t="n">
        <x:f>'02_Loan_Portfolio'!L234</x:f>
        <x:v>0</x:v>
      </x:c>
      <x:c r="D236" t="n">
        <x:f>'02_Loan_Portfolio'!J234</x:f>
        <x:v>1.525</x:v>
      </x:c>
      <x:c r="E236" t="n">
        <x:f>'02_Loan_Portfolio'!K234</x:f>
        <x:v>3.505</x:v>
      </x:c>
      <x:c r="F236" t="str">
        <x:f>IF(OR(C236&gt;=30,D236&lt;1.1,E236&gt;5),"Red",IF(OR(C236&gt;0,D236&lt;1.3,E236&gt;4),"Amber","Green"))</x:f>
        <x:v>Green</x:v>
      </x:c>
      <x:c r="G236" t="str">
        <x:f>IF(C236&gt;=30,"DPD deterioration",IF(D236&lt;1.1,"DSCR weakness",IF(E236&gt;5,"High leverage","Normal")))</x:f>
        <x:v>Normal</x:v>
      </x:c>
    </x:row>
    <x:row r="237">
      <x:c r="A237" t="str">
        <x:f>'02_Loan_Portfolio'!A235</x:f>
        <x:v>LN00234</x:v>
      </x:c>
      <x:c r="B237" t="str">
        <x:f>'02_Loan_Portfolio'!E235</x:f>
        <x:v>B</x:v>
      </x:c>
      <x:c r="C237" t="n">
        <x:f>'02_Loan_Portfolio'!L235</x:f>
        <x:v>0</x:v>
      </x:c>
      <x:c r="D237" t="n">
        <x:f>'02_Loan_Portfolio'!J235</x:f>
        <x:v>2.051</x:v>
      </x:c>
      <x:c r="E237" t="n">
        <x:f>'02_Loan_Portfolio'!K235</x:f>
        <x:v>3.399</x:v>
      </x:c>
      <x:c r="F237" t="str">
        <x:f>IF(OR(C237&gt;=30,D237&lt;1.1,E237&gt;5),"Red",IF(OR(C237&gt;0,D237&lt;1.3,E237&gt;4),"Amber","Green"))</x:f>
        <x:v>Green</x:v>
      </x:c>
      <x:c r="G237" t="str">
        <x:f>IF(C237&gt;=30,"DPD deterioration",IF(D237&lt;1.1,"DSCR weakness",IF(E237&gt;5,"High leverage","Normal")))</x:f>
        <x:v>Normal</x:v>
      </x:c>
    </x:row>
    <x:row r="238">
      <x:c r="A238" t="str">
        <x:f>'02_Loan_Portfolio'!A236</x:f>
        <x:v>LN00235</x:v>
      </x:c>
      <x:c r="B238" t="str">
        <x:f>'02_Loan_Portfolio'!E236</x:f>
        <x:v>BB</x:v>
      </x:c>
      <x:c r="C238" t="n">
        <x:f>'02_Loan_Portfolio'!L236</x:f>
        <x:v>0</x:v>
      </x:c>
      <x:c r="D238" t="n">
        <x:f>'02_Loan_Portfolio'!J236</x:f>
        <x:v>1.111</x:v>
      </x:c>
      <x:c r="E238" t="n">
        <x:f>'02_Loan_Portfolio'!K236</x:f>
        <x:v>2.961</x:v>
      </x:c>
      <x:c r="F238" t="str">
        <x:f>IF(OR(C238&gt;=30,D238&lt;1.1,E238&gt;5),"Red",IF(OR(C238&gt;0,D238&lt;1.3,E238&gt;4),"Amber","Green"))</x:f>
        <x:v>Amber</x:v>
      </x:c>
      <x:c r="G238" t="str">
        <x:f>IF(C238&gt;=30,"DPD deterioration",IF(D238&lt;1.1,"DSCR weakness",IF(E238&gt;5,"High leverage","Normal")))</x:f>
        <x:v>Normal</x:v>
      </x:c>
    </x:row>
    <x:row r="239">
      <x:c r="A239" t="str">
        <x:f>'02_Loan_Portfolio'!A237</x:f>
        <x:v>LN00236</x:v>
      </x:c>
      <x:c r="B239" t="str">
        <x:f>'02_Loan_Portfolio'!E237</x:f>
        <x:v>A</x:v>
      </x:c>
      <x:c r="C239" t="n">
        <x:f>'02_Loan_Portfolio'!L237</x:f>
        <x:v>65</x:v>
      </x:c>
      <x:c r="D239" t="n">
        <x:f>'02_Loan_Portfolio'!J237</x:f>
        <x:v>1.446</x:v>
      </x:c>
      <x:c r="E239" t="n">
        <x:f>'02_Loan_Portfolio'!K237</x:f>
        <x:v>4.32</x:v>
      </x:c>
      <x:c r="F239" t="str">
        <x:f>IF(OR(C239&gt;=30,D239&lt;1.1,E239&gt;5),"Red",IF(OR(C239&gt;0,D239&lt;1.3,E239&gt;4),"Amber","Green"))</x:f>
        <x:v>Red</x:v>
      </x:c>
      <x:c r="G239" t="str">
        <x:f>IF(C239&gt;=30,"DPD deterioration",IF(D239&lt;1.1,"DSCR weakness",IF(E239&gt;5,"High leverage","Normal")))</x:f>
        <x:v>DPD deterioration</x:v>
      </x:c>
    </x:row>
    <x:row r="240">
      <x:c r="A240" t="str">
        <x:f>'02_Loan_Portfolio'!A238</x:f>
        <x:v>LN00237</x:v>
      </x:c>
      <x:c r="B240" t="str">
        <x:f>'02_Loan_Portfolio'!E238</x:f>
        <x:v>AAA</x:v>
      </x:c>
      <x:c r="C240" t="n">
        <x:f>'02_Loan_Portfolio'!L238</x:f>
        <x:v>0</x:v>
      </x:c>
      <x:c r="D240" t="n">
        <x:f>'02_Loan_Portfolio'!J238</x:f>
        <x:v>1.501</x:v>
      </x:c>
      <x:c r="E240" t="n">
        <x:f>'02_Loan_Portfolio'!K238</x:f>
        <x:v>5.2</x:v>
      </x:c>
      <x:c r="F240" t="str">
        <x:f>IF(OR(C240&gt;=30,D240&lt;1.1,E240&gt;5),"Red",IF(OR(C240&gt;0,D240&lt;1.3,E240&gt;4),"Amber","Green"))</x:f>
        <x:v>Red</x:v>
      </x:c>
      <x:c r="G240" t="str">
        <x:f>IF(C240&gt;=30,"DPD deterioration",IF(D240&lt;1.1,"DSCR weakness",IF(E240&gt;5,"High leverage","Normal")))</x:f>
        <x:v>High leverage</x:v>
      </x:c>
    </x:row>
    <x:row r="241">
      <x:c r="A241" t="str">
        <x:f>'02_Loan_Portfolio'!A239</x:f>
        <x:v>LN00238</x:v>
      </x:c>
      <x:c r="B241" t="str">
        <x:f>'02_Loan_Portfolio'!E239</x:f>
        <x:v>B</x:v>
      </x:c>
      <x:c r="C241" t="n">
        <x:f>'02_Loan_Portfolio'!L239</x:f>
        <x:v>35</x:v>
      </x:c>
      <x:c r="D241" t="n">
        <x:f>'02_Loan_Portfolio'!J239</x:f>
        <x:v>1.782</x:v>
      </x:c>
      <x:c r="E241" t="n">
        <x:f>'02_Loan_Portfolio'!K239</x:f>
        <x:v>2.576</x:v>
      </x:c>
      <x:c r="F241" t="str">
        <x:f>IF(OR(C241&gt;=30,D241&lt;1.1,E241&gt;5),"Red",IF(OR(C241&gt;0,D241&lt;1.3,E241&gt;4),"Amber","Green"))</x:f>
        <x:v>Red</x:v>
      </x:c>
      <x:c r="G241" t="str">
        <x:f>IF(C241&gt;=30,"DPD deterioration",IF(D241&lt;1.1,"DSCR weakness",IF(E241&gt;5,"High leverage","Normal")))</x:f>
        <x:v>DPD deterioration</x:v>
      </x:c>
    </x:row>
    <x:row r="242">
      <x:c r="A242" t="str">
        <x:f>'02_Loan_Portfolio'!A240</x:f>
        <x:v>LN00239</x:v>
      </x:c>
      <x:c r="B242" t="str">
        <x:f>'02_Loan_Portfolio'!E240</x:f>
        <x:v>CCC</x:v>
      </x:c>
      <x:c r="C242" t="n">
        <x:f>'02_Loan_Portfolio'!L240</x:f>
        <x:v>15</x:v>
      </x:c>
      <x:c r="D242" t="n">
        <x:f>'02_Loan_Portfolio'!J240</x:f>
        <x:v>2.308</x:v>
      </x:c>
      <x:c r="E242" t="n">
        <x:f>'02_Loan_Portfolio'!K240</x:f>
        <x:v>4.284</x:v>
      </x:c>
      <x:c r="F242" t="str">
        <x:f>IF(OR(C242&gt;=30,D242&lt;1.1,E242&gt;5),"Red",IF(OR(C242&gt;0,D242&lt;1.3,E242&gt;4),"Amber","Green"))</x:f>
        <x:v>Amber</x:v>
      </x:c>
      <x:c r="G242" t="str">
        <x:f>IF(C242&gt;=30,"DPD deterioration",IF(D242&lt;1.1,"DSCR weakness",IF(E242&gt;5,"High leverage","Normal")))</x:f>
        <x:v>Normal</x:v>
      </x:c>
    </x:row>
    <x:row r="243">
      <x:c r="A243" t="str">
        <x:f>'02_Loan_Portfolio'!A241</x:f>
        <x:v>LN00240</x:v>
      </x:c>
      <x:c r="B243" t="str">
        <x:f>'02_Loan_Portfolio'!E241</x:f>
        <x:v>BB</x:v>
      </x:c>
      <x:c r="C243" t="n">
        <x:f>'02_Loan_Portfolio'!L241</x:f>
        <x:v>0</x:v>
      </x:c>
      <x:c r="D243" t="n">
        <x:f>'02_Loan_Portfolio'!J241</x:f>
        <x:v>0.966</x:v>
      </x:c>
      <x:c r="E243" t="n">
        <x:f>'02_Loan_Portfolio'!K241</x:f>
        <x:v>1.839</x:v>
      </x:c>
      <x:c r="F243" t="str">
        <x:f>IF(OR(C243&gt;=30,D243&lt;1.1,E243&gt;5),"Red",IF(OR(C243&gt;0,D243&lt;1.3,E243&gt;4),"Amber","Green"))</x:f>
        <x:v>Red</x:v>
      </x:c>
      <x:c r="G243" t="str">
        <x:f>IF(C243&gt;=30,"DPD deterioration",IF(D243&lt;1.1,"DSCR weakness",IF(E243&gt;5,"High leverage","Normal")))</x:f>
        <x:v>DSCR weakness</x:v>
      </x:c>
    </x:row>
    <x:row r="244">
      <x:c r="A244" t="str">
        <x:f>'02_Loan_Portfolio'!A242</x:f>
        <x:v>LN00241</x:v>
      </x:c>
      <x:c r="B244" t="str">
        <x:f>'02_Loan_Portfolio'!E242</x:f>
        <x:v>B</x:v>
      </x:c>
      <x:c r="C244" t="n">
        <x:f>'02_Loan_Portfolio'!L242</x:f>
        <x:v>0</x:v>
      </x:c>
      <x:c r="D244" t="n">
        <x:f>'02_Loan_Portfolio'!J242</x:f>
        <x:v>1.728</x:v>
      </x:c>
      <x:c r="E244" t="n">
        <x:f>'02_Loan_Portfolio'!K242</x:f>
        <x:v>4.356</x:v>
      </x:c>
      <x:c r="F244" t="str">
        <x:f>IF(OR(C244&gt;=30,D244&lt;1.1,E244&gt;5),"Red",IF(OR(C244&gt;0,D244&lt;1.3,E244&gt;4),"Amber","Green"))</x:f>
        <x:v>Amber</x:v>
      </x:c>
      <x:c r="G244" t="str">
        <x:f>IF(C244&gt;=30,"DPD deterioration",IF(D244&lt;1.1,"DSCR weakness",IF(E244&gt;5,"High leverage","Normal")))</x:f>
        <x:v>Normal</x:v>
      </x:c>
    </x:row>
    <x:row r="245">
      <x:c r="A245" t="str">
        <x:f>'02_Loan_Portfolio'!A243</x:f>
        <x:v>LN00242</x:v>
      </x:c>
      <x:c r="B245" t="str">
        <x:f>'02_Loan_Portfolio'!E243</x:f>
        <x:v>BB</x:v>
      </x:c>
      <x:c r="C245" t="n">
        <x:f>'02_Loan_Portfolio'!L243</x:f>
        <x:v>0</x:v>
      </x:c>
      <x:c r="D245" t="n">
        <x:f>'02_Loan_Portfolio'!J243</x:f>
        <x:v>1.332</x:v>
      </x:c>
      <x:c r="E245" t="n">
        <x:f>'02_Loan_Portfolio'!K243</x:f>
        <x:v>4.934</x:v>
      </x:c>
      <x:c r="F245" t="str">
        <x:f>IF(OR(C245&gt;=30,D245&lt;1.1,E245&gt;5),"Red",IF(OR(C245&gt;0,D245&lt;1.3,E245&gt;4),"Amber","Green"))</x:f>
        <x:v>Amber</x:v>
      </x:c>
      <x:c r="G245" t="str">
        <x:f>IF(C245&gt;=30,"DPD deterioration",IF(D245&lt;1.1,"DSCR weakness",IF(E245&gt;5,"High leverage","Normal")))</x:f>
        <x:v>Normal</x:v>
      </x:c>
    </x:row>
    <x:row r="246">
      <x:c r="A246" t="str">
        <x:f>'02_Loan_Portfolio'!A244</x:f>
        <x:v>LN00243</x:v>
      </x:c>
      <x:c r="B246" t="str">
        <x:f>'02_Loan_Portfolio'!E244</x:f>
        <x:v>B</x:v>
      </x:c>
      <x:c r="C246" t="n">
        <x:f>'02_Loan_Portfolio'!L244</x:f>
        <x:v>0</x:v>
      </x:c>
      <x:c r="D246" t="n">
        <x:f>'02_Loan_Portfolio'!J244</x:f>
        <x:v>2.188</x:v>
      </x:c>
      <x:c r="E246" t="n">
        <x:f>'02_Loan_Portfolio'!K244</x:f>
        <x:v>1.431</x:v>
      </x:c>
      <x:c r="F246" t="str">
        <x:f>IF(OR(C246&gt;=30,D246&lt;1.1,E246&gt;5),"Red",IF(OR(C246&gt;0,D246&lt;1.3,E246&gt;4),"Amber","Green"))</x:f>
        <x:v>Green</x:v>
      </x:c>
      <x:c r="G246" t="str">
        <x:f>IF(C246&gt;=30,"DPD deterioration",IF(D246&lt;1.1,"DSCR weakness",IF(E246&gt;5,"High leverage","Normal")))</x:f>
        <x:v>Normal</x:v>
      </x:c>
    </x:row>
    <x:row r="247">
      <x:c r="A247" t="str">
        <x:f>'02_Loan_Portfolio'!A245</x:f>
        <x:v>LN00244</x:v>
      </x:c>
      <x:c r="B247" t="str">
        <x:f>'02_Loan_Portfolio'!E245</x:f>
        <x:v>BBB</x:v>
      </x:c>
      <x:c r="C247" t="n">
        <x:f>'02_Loan_Portfolio'!L245</x:f>
        <x:v>15</x:v>
      </x:c>
      <x:c r="D247" t="n">
        <x:f>'02_Loan_Portfolio'!J245</x:f>
        <x:v>1.678</x:v>
      </x:c>
      <x:c r="E247" t="n">
        <x:f>'02_Loan_Portfolio'!K245</x:f>
        <x:v>3.416</x:v>
      </x:c>
      <x:c r="F247" t="str">
        <x:f>IF(OR(C247&gt;=30,D247&lt;1.1,E247&gt;5),"Red",IF(OR(C247&gt;0,D247&lt;1.3,E247&gt;4),"Amber","Green"))</x:f>
        <x:v>Amber</x:v>
      </x:c>
      <x:c r="G247" t="str">
        <x:f>IF(C247&gt;=30,"DPD deterioration",IF(D247&lt;1.1,"DSCR weakness",IF(E247&gt;5,"High leverage","Normal")))</x:f>
        <x:v>Normal</x:v>
      </x:c>
    </x:row>
    <x:row r="248">
      <x:c r="A248" t="str">
        <x:f>'02_Loan_Portfolio'!A246</x:f>
        <x:v>LN00245</x:v>
      </x:c>
      <x:c r="B248" t="str">
        <x:f>'02_Loan_Portfolio'!E246</x:f>
        <x:v>A</x:v>
      </x:c>
      <x:c r="C248" t="n">
        <x:f>'02_Loan_Portfolio'!L246</x:f>
        <x:v>0</x:v>
      </x:c>
      <x:c r="D248" t="n">
        <x:f>'02_Loan_Portfolio'!J246</x:f>
        <x:v>1.39</x:v>
      </x:c>
      <x:c r="E248" t="n">
        <x:f>'02_Loan_Portfolio'!K246</x:f>
        <x:v>3.407</x:v>
      </x:c>
      <x:c r="F248" t="str">
        <x:f>IF(OR(C248&gt;=30,D248&lt;1.1,E248&gt;5),"Red",IF(OR(C248&gt;0,D248&lt;1.3,E248&gt;4),"Amber","Green"))</x:f>
        <x:v>Green</x:v>
      </x:c>
      <x:c r="G248" t="str">
        <x:f>IF(C248&gt;=30,"DPD deterioration",IF(D248&lt;1.1,"DSCR weakness",IF(E248&gt;5,"High leverage","Normal")))</x:f>
        <x:v>Normal</x:v>
      </x:c>
    </x:row>
    <x:row r="249">
      <x:c r="A249" t="str">
        <x:f>'02_Loan_Portfolio'!A247</x:f>
        <x:v>LN00246</x:v>
      </x:c>
      <x:c r="B249" t="str">
        <x:f>'02_Loan_Portfolio'!E247</x:f>
        <x:v>BBB</x:v>
      </x:c>
      <x:c r="C249" t="n">
        <x:f>'02_Loan_Portfolio'!L247</x:f>
        <x:v>0</x:v>
      </x:c>
      <x:c r="D249" t="n">
        <x:f>'02_Loan_Portfolio'!J247</x:f>
        <x:v>2.311</x:v>
      </x:c>
      <x:c r="E249" t="n">
        <x:f>'02_Loan_Portfolio'!K247</x:f>
        <x:v>2.216</x:v>
      </x:c>
      <x:c r="F249" t="str">
        <x:f>IF(OR(C249&gt;=30,D249&lt;1.1,E249&gt;5),"Red",IF(OR(C249&gt;0,D249&lt;1.3,E249&gt;4),"Amber","Green"))</x:f>
        <x:v>Green</x:v>
      </x:c>
      <x:c r="G249" t="str">
        <x:f>IF(C249&gt;=30,"DPD deterioration",IF(D249&lt;1.1,"DSCR weakness",IF(E249&gt;5,"High leverage","Normal")))</x:f>
        <x:v>Normal</x:v>
      </x:c>
    </x:row>
    <x:row r="250">
      <x:c r="A250" t="str">
        <x:f>'02_Loan_Portfolio'!A248</x:f>
        <x:v>LN00247</x:v>
      </x:c>
      <x:c r="B250" t="str">
        <x:f>'02_Loan_Portfolio'!E248</x:f>
        <x:v>BBB</x:v>
      </x:c>
      <x:c r="C250" t="n">
        <x:f>'02_Loan_Portfolio'!L248</x:f>
        <x:v>0</x:v>
      </x:c>
      <x:c r="D250" t="n">
        <x:f>'02_Loan_Portfolio'!J248</x:f>
        <x:v>1.63</x:v>
      </x:c>
      <x:c r="E250" t="n">
        <x:f>'02_Loan_Portfolio'!K248</x:f>
        <x:v>1.8</x:v>
      </x:c>
      <x:c r="F250" t="str">
        <x:f>IF(OR(C250&gt;=30,D250&lt;1.1,E250&gt;5),"Red",IF(OR(C250&gt;0,D250&lt;1.3,E250&gt;4),"Amber","Green"))</x:f>
        <x:v>Green</x:v>
      </x:c>
      <x:c r="G250" t="str">
        <x:f>IF(C250&gt;=30,"DPD deterioration",IF(D250&lt;1.1,"DSCR weakness",IF(E250&gt;5,"High leverage","Normal")))</x:f>
        <x:v>Normal</x:v>
      </x:c>
    </x:row>
    <x:row r="251">
      <x:c r="A251" t="str">
        <x:f>'02_Loan_Portfolio'!A249</x:f>
        <x:v>LN00248</x:v>
      </x:c>
      <x:c r="B251" t="str">
        <x:f>'02_Loan_Portfolio'!E249</x:f>
        <x:v>BB</x:v>
      </x:c>
      <x:c r="C251" t="n">
        <x:f>'02_Loan_Portfolio'!L249</x:f>
        <x:v>5</x:v>
      </x:c>
      <x:c r="D251" t="n">
        <x:f>'02_Loan_Portfolio'!J249</x:f>
        <x:v>0.562</x:v>
      </x:c>
      <x:c r="E251" t="n">
        <x:f>'02_Loan_Portfolio'!K249</x:f>
        <x:v>3.035</x:v>
      </x:c>
      <x:c r="F251" t="str">
        <x:f>IF(OR(C251&gt;=30,D251&lt;1.1,E251&gt;5),"Red",IF(OR(C251&gt;0,D251&lt;1.3,E251&gt;4),"Amber","Green"))</x:f>
        <x:v>Red</x:v>
      </x:c>
      <x:c r="G251" t="str">
        <x:f>IF(C251&gt;=30,"DPD deterioration",IF(D251&lt;1.1,"DSCR weakness",IF(E251&gt;5,"High leverage","Normal")))</x:f>
        <x:v>DSCR weakness</x:v>
      </x:c>
    </x:row>
    <x:row r="252">
      <x:c r="A252" t="str">
        <x:f>'02_Loan_Portfolio'!A250</x:f>
        <x:v>LN00249</x:v>
      </x:c>
      <x:c r="B252" t="str">
        <x:f>'02_Loan_Portfolio'!E250</x:f>
        <x:v>B</x:v>
      </x:c>
      <x:c r="C252" t="n">
        <x:f>'02_Loan_Portfolio'!L250</x:f>
        <x:v>0</x:v>
      </x:c>
      <x:c r="D252" t="n">
        <x:f>'02_Loan_Portfolio'!J250</x:f>
        <x:v>1.362</x:v>
      </x:c>
      <x:c r="E252" t="n">
        <x:f>'02_Loan_Portfolio'!K250</x:f>
        <x:v>6.819</x:v>
      </x:c>
      <x:c r="F252" t="str">
        <x:f>IF(OR(C252&gt;=30,D252&lt;1.1,E252&gt;5),"Red",IF(OR(C252&gt;0,D252&lt;1.3,E252&gt;4),"Amber","Green"))</x:f>
        <x:v>Red</x:v>
      </x:c>
      <x:c r="G252" t="str">
        <x:f>IF(C252&gt;=30,"DPD deterioration",IF(D252&lt;1.1,"DSCR weakness",IF(E252&gt;5,"High leverage","Normal")))</x:f>
        <x:v>High leverage</x:v>
      </x:c>
    </x:row>
    <x:row r="253">
      <x:c r="A253" t="str">
        <x:f>'02_Loan_Portfolio'!A251</x:f>
        <x:v>LN00250</x:v>
      </x:c>
      <x:c r="B253" t="str">
        <x:f>'02_Loan_Portfolio'!E251</x:f>
        <x:v>BB</x:v>
      </x:c>
      <x:c r="C253" t="n">
        <x:f>'02_Loan_Portfolio'!L251</x:f>
        <x:v>0</x:v>
      </x:c>
      <x:c r="D253" t="n">
        <x:f>'02_Loan_Portfolio'!J251</x:f>
        <x:v>2.018</x:v>
      </x:c>
      <x:c r="E253" t="n">
        <x:f>'02_Loan_Portfolio'!K251</x:f>
        <x:v>5.346</x:v>
      </x:c>
      <x:c r="F253" t="str">
        <x:f>IF(OR(C253&gt;=30,D253&lt;1.1,E253&gt;5),"Red",IF(OR(C253&gt;0,D253&lt;1.3,E253&gt;4),"Amber","Green"))</x:f>
        <x:v>Red</x:v>
      </x:c>
      <x:c r="G253" t="str">
        <x:f>IF(C253&gt;=30,"DPD deterioration",IF(D253&lt;1.1,"DSCR weakness",IF(E253&gt;5,"High leverage","Normal")))</x:f>
        <x:v>High leverage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8ab11954d8147c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9" t="str">
        <x:v>Model Validation Dashboard</x:v>
      </x:c>
    </x:row>
    <x:row r="3">
      <x:c r="A3" s="12" t="str">
        <x:v>Validation Area</x:v>
      </x:c>
      <x:c r="B3" s="12" t="str">
        <x:v>Metric</x:v>
      </x:c>
      <x:c r="C3" s="12" t="str">
        <x:v>Threshold</x:v>
      </x:c>
      <x:c r="D3" s="12" t="str">
        <x:v>Prototype Result</x:v>
      </x:c>
      <x:c r="E3" s="12" t="str">
        <x:v>Status</x:v>
      </x:c>
      <x:c r="F3" s="12" t="str">
        <x:v>Owner</x:v>
      </x:c>
    </x:row>
    <x:row r="4">
      <x:c r="A4" t="str">
        <x:v>Discrimination</x:v>
      </x:c>
      <x:c r="B4" t="str">
        <x:v>AUC</x:v>
      </x:c>
      <x:c r="C4" t="str">
        <x:v>&gt; 0.70</x:v>
      </x:c>
      <x:c r="D4" s="46" t="n">
        <x:v>0.78</x:v>
      </x:c>
      <x:c r="E4" t="str">
        <x:v>Pass</x:v>
      </x:c>
      <x:c r="F4" t="str">
        <x:v>Model Risk</x:v>
      </x:c>
    </x:row>
    <x:row r="5">
      <x:c r="A5" t="str">
        <x:v>Discrimination</x:v>
      </x:c>
      <x:c r="B5" t="str">
        <x:v>Gini</x:v>
      </x:c>
      <x:c r="C5" t="str">
        <x:v>&gt; 0.40</x:v>
      </x:c>
      <x:c r="D5" s="46" t="n">
        <x:f>2*D4-1</x:f>
        <x:v>0.56</x:v>
      </x:c>
      <x:c r="E5" t="str">
        <x:v>Pass</x:v>
      </x:c>
      <x:c r="F5" t="str">
        <x:v>Model Risk</x:v>
      </x:c>
    </x:row>
    <x:row r="6">
      <x:c r="A6" t="str">
        <x:v>Separation</x:v>
      </x:c>
      <x:c r="B6" t="str">
        <x:v>KS</x:v>
      </x:c>
      <x:c r="C6" t="str">
        <x:v>&gt; 0.30</x:v>
      </x:c>
      <x:c r="D6" s="46" t="n">
        <x:v>0.42</x:v>
      </x:c>
      <x:c r="E6" t="str">
        <x:v>Pass</x:v>
      </x:c>
      <x:c r="F6" t="str">
        <x:v>Model Risk</x:v>
      </x:c>
    </x:row>
    <x:row r="7">
      <x:c r="A7" t="str">
        <x:v>Stability</x:v>
      </x:c>
      <x:c r="B7" t="str">
        <x:v>PSI</x:v>
      </x:c>
      <x:c r="C7" t="str">
        <x:v>&lt; 0.10</x:v>
      </x:c>
      <x:c r="D7" s="46" t="n">
        <x:v>0.08</x:v>
      </x:c>
      <x:c r="E7" t="str">
        <x:v>Pass</x:v>
      </x:c>
      <x:c r="F7" t="str">
        <x:v>Model Monitoring</x:v>
      </x:c>
    </x:row>
    <x:row r="8">
      <x:c r="A8" t="str">
        <x:v>Calibration</x:v>
      </x:c>
      <x:c r="B8" t="str">
        <x:v>Brier Score</x:v>
      </x:c>
      <x:c r="C8" t="str">
        <x:v>Lower is better</x:v>
      </x:c>
      <x:c r="D8" s="46" t="n">
        <x:v>0.09</x:v>
      </x:c>
      <x:c r="E8" t="str">
        <x:v>Monitor</x:v>
      </x:c>
      <x:c r="F8" t="str">
        <x:v>Model Risk</x:v>
      </x:c>
    </x:row>
    <x:row r="9">
      <x:c r="A9" t="str">
        <x:v>Governance</x:v>
      </x:c>
      <x:c r="B9" t="str">
        <x:v>Documentation</x:v>
      </x:c>
      <x:c r="C9" t="str">
        <x:v>Complete</x:v>
      </x:c>
      <x:c r="D9" t="str">
        <x:v>Yes</x:v>
      </x:c>
      <x:c r="E9" t="str">
        <x:v>Pass</x:v>
      </x:c>
      <x:c r="F9" t="str">
        <x:v>Risk Governance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.09000015258789" hidden="0" customWidth="1"/>
    <x:col min="2" max="2" width="107.94000244140625" hidden="0" customWidth="1"/>
    <x:col min="3" max="3" width="10.630000114440918" hidden="0" customWidth="1"/>
    <x:col min="4" max="4" width="14.270000457763672" hidden="0" customWidth="1"/>
  </x:cols>
  <x:sheetData>
    <x:row r="1">
      <x:c r="A1" s="4" t="str">
        <x:v>Executive Credit Risk Dashboard</x:v>
      </x:c>
      <x:c r="B1" s="48"/>
      <x:c r="C1" s="48"/>
      <x:c r="D1" s="50"/>
    </x:row>
    <x:row r="3">
      <x:c r="A3" s="20" t="str">
        <x:v>Total EAD VND</x:v>
      </x:c>
      <x:c r="B3" s="52" t="n">
        <x:f>SUM('02_Loan_Portfolio'!P2:P251)</x:f>
        <x:v>427296172686485</x:v>
      </x:c>
    </x:row>
    <x:row r="4">
      <x:c r="A4" s="20" t="str">
        <x:v>Total ECL VND</x:v>
      </x:c>
      <x:c r="B4" s="52" t="n">
        <x:f>SUM('04_IFRS9_ECL'!H2:H251)</x:f>
        <x:v>29558724710168.914</x:v>
      </x:c>
    </x:row>
    <x:row r="5">
      <x:c r="A5" s="20" t="str">
        <x:v>Weighted Avg PD</x:v>
      </x:c>
      <x:c r="B5" s="54" t="n">
        <x:f>SUMPRODUCT('02_Loan_Portfolio'!N2:N251,'02_Loan_Portfolio'!P2:P251)/SUM('02_Loan_Portfolio'!P2:P251)</x:f>
        <x:v>0.08888750972467052</x:v>
      </x:c>
    </x:row>
    <x:row r="6">
      <x:c r="A6" s="20" t="str">
        <x:v>Weighted Avg LGD</x:v>
      </x:c>
      <x:c r="B6" s="54" t="n">
        <x:f>SUMPRODUCT('02_Loan_Portfolio'!O2:O251,'02_Loan_Portfolio'!P2:P251)/SUM('02_Loan_Portfolio'!P2:P251)</x:f>
        <x:v>0.5504164333967843</x:v>
      </x:c>
    </x:row>
    <x:row r="7">
      <x:c r="A7" s="20" t="str">
        <x:v>Stage 2 Ratio</x:v>
      </x:c>
      <x:c r="B7" s="54" t="n">
        <x:f>SUMIF('02_Loan_Portfolio'!Q2:Q251,2,'02_Loan_Portfolio'!P2:P251)/SUM('02_Loan_Portfolio'!P2:P251)</x:f>
        <x:v>0.24381358699329192</x:v>
      </x:c>
    </x:row>
    <x:row r="8">
      <x:c r="A8" s="20" t="str">
        <x:v>Stage 3 / NPL Ratio</x:v>
      </x:c>
      <x:c r="B8" s="54" t="n">
        <x:f>SUMIF('02_Loan_Portfolio'!Q2:Q251,3,'02_Loan_Portfolio'!P2:P251)/SUM('02_Loan_Portfolio'!P2:P251)</x:f>
        <x:v>0.010802926076629943</x:v>
      </x:c>
    </x:row>
    <x:row r="9">
      <x:c r="A9" s="20" t="str">
        <x:v>Severe Stress ECL Increase</x:v>
      </x:c>
      <x:c r="B9" s="20" t="n">
        <x:f>'05_Stress_Test'!F12</x:f>
        <x:v>1.4700000000000002</x:v>
      </x:c>
    </x:row>
    <x:row r="10">
      <x:c r="A10" s="20" t="str">
        <x:v>Management Action</x:v>
      </x:c>
      <x:c r="B10" s="24" t="str">
        <x:f>"Tighten monitoring for Stage 2, high DPD, weak DSCR and high leverage borrowers"</x:f>
        <x:v>Tighten monitoring for Stage 2, high DPD, weak DSCR and high leverage borrowers</x:v>
      </x:c>
    </x:row>
    <x:row r="12">
      <x:c r="A12" s="12" t="str">
        <x:v>Scenario</x:v>
      </x:c>
      <x:c r="B12" s="12" t="str">
        <x:v>Stressed PD</x:v>
      </x:c>
      <x:c r="C12" s="12" t="str">
        <x:v>Stressed LGD</x:v>
      </x:c>
      <x:c r="D12" s="12" t="str">
        <x:v>Stressed ECL VND</x:v>
      </x:c>
    </x:row>
    <x:row r="13">
      <x:c r="A13" t="str">
        <x:f>'05_Stress_Test'!A10</x:f>
        <x:v>Base</x:v>
      </x:c>
      <x:c r="B13" t="n">
        <x:f>'05_Stress_Test'!B10</x:f>
        <x:v>0.08888750972467052</x:v>
      </x:c>
      <x:c r="C13" t="n">
        <x:f>'05_Stress_Test'!C10</x:f>
        <x:v>0.5504164333967843</x:v>
      </x:c>
      <x:c r="D13" t="n">
        <x:f>'05_Stress_Test'!E10</x:f>
        <x:v>20905527666476.83</x:v>
      </x:c>
    </x:row>
    <x:row r="14">
      <x:c r="A14" t="str">
        <x:f>'05_Stress_Test'!A11</x:f>
        <x:v>Mild Stress</x:v>
      </x:c>
      <x:c r="B14" t="n">
        <x:f>'05_Stress_Test'!B11</x:f>
        <x:v>0.11999813812830522</x:v>
      </x:c>
      <x:c r="C14" t="n">
        <x:f>'05_Stress_Test'!C11</x:f>
        <x:v>0.6054580767364627</x:v>
      </x:c>
      <x:c r="D14" t="n">
        <x:f>'05_Stress_Test'!E11</x:f>
        <x:v>31044708584718.094</x:v>
      </x:c>
    </x:row>
    <x:row r="15">
      <x:c r="A15" t="str">
        <x:f>'05_Stress_Test'!A12</x:f>
        <x:v>Severe Stress</x:v>
      </x:c>
      <x:c r="B15" t="n">
        <x:f>'05_Stress_Test'!B12</x:f>
        <x:v>0.168886268476874</x:v>
      </x:c>
      <x:c r="C15" t="n">
        <x:f>'05_Stress_Test'!C12</x:f>
        <x:v>0.7155413634158195</x:v>
      </x:c>
      <x:c r="D15" t="n">
        <x:f>'05_Stress_Test'!E12</x:f>
        <x:v>51636653336197.77</x:v>
      </x:c>
    </x:row>
    <x:row r="17">
      <x:c r="A17" s="58" t="str">
        <x:v>Author</x:v>
      </x:c>
      <x:c r="B17" s="25" t="str">
        <x:v>Le Hoang Quan</x:v>
      </x:c>
      <x:c r="C17" s="25"/>
      <x:c r="D17" s="25"/>
    </x:row>
    <x:row r="18">
      <x:c r="A18" s="58" t="str">
        <x:v>Navigation note</x:v>
      </x:c>
      <x:c r="B18" s="25" t="str">
        <x:v>Click each numbered sheet/tab to see detailed modules. In Streamlit, use the tab menu and Mobile friendly mode from the sidebar.</x:v>
      </x:c>
      <x:c r="C18" s="25"/>
      <x:c r="D18" s="25"/>
    </x:row>
    <x:row r="19">
      <x:c r="A19" s="58" t="str">
        <x:v>Recommended demo flow</x:v>
      </x:c>
      <x:c r="B19" s="25" t="str">
        <x:v>1) Executive Overview → 2) Portfolio Quality → 3) IFRS9 → 4) Stress Test → 5) Early Warning → 6) Validation → 7) Management Actions</x:v>
      </x:c>
      <x:c r="C19" s="25"/>
      <x:c r="D19" s="25"/>
    </x:row>
    <x:row r="20">
      <x:c r="A20" s="58" t="str">
        <x:v>Mobile view</x:v>
      </x:c>
      <x:c r="B20" s="25" t="str">
        <x:v>Available in Streamlit app via sidebar.</x:v>
      </x:c>
      <x:c r="C20" s="25"/>
      <x:c r="D20" s="2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e9d23bd8cd84357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>
      <x:c r="A1" s="29" t="str">
        <x:v>Model Governance Pack</x:v>
      </x:c>
    </x:row>
    <x:row r="3">
      <x:c r="A3" s="12" t="str">
        <x:v>Section</x:v>
      </x:c>
      <x:c r="B3" s="12" t="str">
        <x:v>Content</x:v>
      </x:c>
    </x:row>
    <x:row r="4">
      <x:c r="A4" s="25" t="str">
        <x:v>Model objective</x:v>
      </x:c>
      <x:c r="B4" s="25" t="str">
        <x:v>Estimate portfolio credit risk, IFRS9 ECL, stress impact and management actions.</x:v>
      </x:c>
    </x:row>
    <x:row r="5">
      <x:c r="A5" s="25" t="str">
        <x:v>Model owner</x:v>
      </x:c>
      <x:c r="B5" s="25" t="str">
        <x:v>Credit Risk Analytics and Modelling team.</x:v>
      </x:c>
    </x:row>
    <x:row r="6">
      <x:c r="A6" s="25" t="str">
        <x:v>Model type</x:v>
      </x:c>
      <x:c r="B6" s="25" t="str">
        <x:v>PD / LGD / EAD analytics, IFRS9 ECL engine, early warning, macro stress testing.</x:v>
      </x:c>
    </x:row>
    <x:row r="7">
      <x:c r="A7" s="25" t="str">
        <x:v>Data limitation</x:v>
      </x:c>
      <x:c r="B7" s="25" t="str">
        <x:v>Synthetic data for interview demonstration. Replace with audited bank data for production.</x:v>
      </x:c>
    </x:row>
    <x:row r="8">
      <x:c r="A8" s="25" t="str">
        <x:v>Validation</x:v>
      </x:c>
      <x:c r="B8" s="25" t="str">
        <x:v>AUC, Gini, KS, PSI, calibration, backtesting, override monitoring.</x:v>
      </x:c>
    </x:row>
    <x:row r="9">
      <x:c r="A9" s="25" t="str">
        <x:v>Approval workflow</x:v>
      </x:c>
      <x:c r="B9" s="25" t="str">
        <x:v>Developer -&gt; Validator -&gt; Model Risk Committee -&gt; CRO / Risk Committee.</x:v>
      </x:c>
    </x:row>
    <x:row r="10">
      <x:c r="A10" s="25" t="str">
        <x:v>Monitoring frequency</x:v>
      </x:c>
      <x:c r="B10" s="25" t="str">
        <x:v>Monthly performance monitoring; quarterly recalibration review.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45" hidden="0" customWidth="1"/>
  </x:cols>
  <x:sheetData>
    <x:row r="1">
      <x:c r="A1" s="12" t="str">
        <x:v>Topic</x:v>
      </x:c>
      <x:c r="B1" s="12" t="str">
        <x:v>URL</x:v>
      </x:c>
      <x:c r="C1" s="12" t="str">
        <x:v>Use</x:v>
      </x:c>
    </x:row>
    <x:row r="2">
      <x:c r="A2" s="25" t="str">
        <x:v>Vietnam GDP growth</x:v>
      </x:c>
      <x:c r="B2" s="25" t="str">
        <x:v>https://data.worldbank.org/indicator/NY.GDP.MKTP.KD.ZG?locations=VN</x:v>
      </x:c>
      <x:c r="C2" s="25" t="str">
        <x:v>Historical public macro reference</x:v>
      </x:c>
    </x:row>
    <x:row r="3">
      <x:c r="A3" s="25" t="str">
        <x:v>State Bank of Vietnam</x:v>
      </x:c>
      <x:c r="B3" s="25" t="str">
        <x:v>https://www.sbv.gov.vn</x:v>
      </x:c>
      <x:c r="C3" s="25" t="str">
        <x:v>Policy rate / banking sector public reference</x:v>
      </x:c>
    </x:row>
    <x:row r="4">
      <x:c r="A4" s="25" t="str">
        <x:v>IFRS Foundation IFRS 9</x:v>
      </x:c>
      <x:c r="B4" s="25" t="str">
        <x:v>https://www.ifrs.org/issued-standards/list-of-standards/ifrs-9-financial-instruments/</x:v>
      </x:c>
      <x:c r="C4" s="25" t="str">
        <x:v>IFRS9 conceptual reference</x:v>
      </x:c>
    </x:row>
    <x:row r="5">
      <x:c r="A5" s="25" t="str">
        <x:v>BIS Basel framework</x:v>
      </x:c>
      <x:c r="B5" s="25" t="str">
        <x:v>https://www.bis.org/basel_framework/</x:v>
      </x:c>
      <x:c r="C5" s="25" t="str">
        <x:v>Basel credit risk and model governance reference</x:v>
      </x:c>
    </x:row>
    <x:row r="6">
      <x:c r="A6" s="25" t="str">
        <x:v>Note</x:v>
      </x:c>
      <x:c r="B6" s="25" t="str">
        <x:v>Loan-level data is synthetic</x:v>
      </x:c>
      <x:c r="C6" s="25" t="str">
        <x:v>Bank internal loan-level data is not public</x:v>
      </x:c>
    </x:row>
  </x:sheetData>
  <x:pageMargins left="0.7" right="0.7" top="0.75" bottom="0.75" header="0.3" footer="0.3"/>
</x:worksheet>
</file>