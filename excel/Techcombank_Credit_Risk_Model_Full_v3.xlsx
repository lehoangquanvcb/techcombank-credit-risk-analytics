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E:\TCB\Techcombank_Credit_Risk_Analytics_Platform_Full_v3\Techcombank_Credit_Risk_Analytics_Platform_Full_v3\excel\"/>
    </mc:Choice>
  </mc:AlternateContent>
  <xr:revisionPtr revIDLastSave="0" documentId="13_ncr:1_{F1950139-DA53-412C-B275-127DED97750A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00_Readme" sheetId="1" r:id="rId1"/>
    <sheet name="01_Macro_Input" sheetId="2" r:id="rId2"/>
    <sheet name="02_Loan_Portfolio" sheetId="3" r:id="rId3"/>
    <sheet name="03_PD_Model" sheetId="4" r:id="rId4"/>
    <sheet name="04_IFRS9_ECL" sheetId="5" r:id="rId5"/>
    <sheet name="05_Stress_Test" sheetId="6" r:id="rId6"/>
    <sheet name="06_Early_Warning" sheetId="7" r:id="rId7"/>
    <sheet name="07_Model_Validation" sheetId="8" r:id="rId8"/>
    <sheet name="08_Dashboard" sheetId="9" r:id="rId9"/>
    <sheet name="09_Governance" sheetId="10" r:id="rId10"/>
    <sheet name="10_Sources" sheetId="11" r:id="rId11"/>
  </sheets>
  <calcPr calcId="191029"/>
</workbook>
</file>

<file path=xl/calcChain.xml><?xml version="1.0" encoding="utf-8"?>
<calcChain xmlns="http://schemas.openxmlformats.org/spreadsheetml/2006/main">
  <c r="B10" i="9" l="1"/>
  <c r="B8" i="9"/>
  <c r="B7" i="9"/>
  <c r="B6" i="9"/>
  <c r="B5" i="9"/>
  <c r="B3" i="9"/>
  <c r="D5" i="8"/>
  <c r="E253" i="7"/>
  <c r="D253" i="7"/>
  <c r="C253" i="7"/>
  <c r="B253" i="7"/>
  <c r="A253" i="7"/>
  <c r="E252" i="7"/>
  <c r="D252" i="7"/>
  <c r="C252" i="7"/>
  <c r="B252" i="7"/>
  <c r="A252" i="7"/>
  <c r="E251" i="7"/>
  <c r="D251" i="7"/>
  <c r="C251" i="7"/>
  <c r="B251" i="7"/>
  <c r="A251" i="7"/>
  <c r="E250" i="7"/>
  <c r="D250" i="7"/>
  <c r="C250" i="7"/>
  <c r="B250" i="7"/>
  <c r="A250" i="7"/>
  <c r="E249" i="7"/>
  <c r="D249" i="7"/>
  <c r="C249" i="7"/>
  <c r="B249" i="7"/>
  <c r="A249" i="7"/>
  <c r="E248" i="7"/>
  <c r="D248" i="7"/>
  <c r="C248" i="7"/>
  <c r="B248" i="7"/>
  <c r="A248" i="7"/>
  <c r="E247" i="7"/>
  <c r="D247" i="7"/>
  <c r="C247" i="7"/>
  <c r="B247" i="7"/>
  <c r="A247" i="7"/>
  <c r="E246" i="7"/>
  <c r="D246" i="7"/>
  <c r="C246" i="7"/>
  <c r="B246" i="7"/>
  <c r="A246" i="7"/>
  <c r="E245" i="7"/>
  <c r="D245" i="7"/>
  <c r="C245" i="7"/>
  <c r="B245" i="7"/>
  <c r="A245" i="7"/>
  <c r="E244" i="7"/>
  <c r="D244" i="7"/>
  <c r="C244" i="7"/>
  <c r="B244" i="7"/>
  <c r="A244" i="7"/>
  <c r="E243" i="7"/>
  <c r="D243" i="7"/>
  <c r="C243" i="7"/>
  <c r="B243" i="7"/>
  <c r="A243" i="7"/>
  <c r="E242" i="7"/>
  <c r="D242" i="7"/>
  <c r="C242" i="7"/>
  <c r="B242" i="7"/>
  <c r="A242" i="7"/>
  <c r="E241" i="7"/>
  <c r="D241" i="7"/>
  <c r="C241" i="7"/>
  <c r="B241" i="7"/>
  <c r="A241" i="7"/>
  <c r="E240" i="7"/>
  <c r="D240" i="7"/>
  <c r="C240" i="7"/>
  <c r="B240" i="7"/>
  <c r="A240" i="7"/>
  <c r="E239" i="7"/>
  <c r="D239" i="7"/>
  <c r="C239" i="7"/>
  <c r="B239" i="7"/>
  <c r="A239" i="7"/>
  <c r="E238" i="7"/>
  <c r="D238" i="7"/>
  <c r="C238" i="7"/>
  <c r="B238" i="7"/>
  <c r="A238" i="7"/>
  <c r="E237" i="7"/>
  <c r="D237" i="7"/>
  <c r="C237" i="7"/>
  <c r="B237" i="7"/>
  <c r="A237" i="7"/>
  <c r="E236" i="7"/>
  <c r="D236" i="7"/>
  <c r="C236" i="7"/>
  <c r="B236" i="7"/>
  <c r="A236" i="7"/>
  <c r="E235" i="7"/>
  <c r="D235" i="7"/>
  <c r="C235" i="7"/>
  <c r="B235" i="7"/>
  <c r="A235" i="7"/>
  <c r="E234" i="7"/>
  <c r="D234" i="7"/>
  <c r="C234" i="7"/>
  <c r="B234" i="7"/>
  <c r="A234" i="7"/>
  <c r="E233" i="7"/>
  <c r="D233" i="7"/>
  <c r="C233" i="7"/>
  <c r="B233" i="7"/>
  <c r="A233" i="7"/>
  <c r="E232" i="7"/>
  <c r="D232" i="7"/>
  <c r="C232" i="7"/>
  <c r="B232" i="7"/>
  <c r="A232" i="7"/>
  <c r="E231" i="7"/>
  <c r="D231" i="7"/>
  <c r="C231" i="7"/>
  <c r="B231" i="7"/>
  <c r="A231" i="7"/>
  <c r="E230" i="7"/>
  <c r="D230" i="7"/>
  <c r="C230" i="7"/>
  <c r="B230" i="7"/>
  <c r="A230" i="7"/>
  <c r="E229" i="7"/>
  <c r="D229" i="7"/>
  <c r="C229" i="7"/>
  <c r="B229" i="7"/>
  <c r="A229" i="7"/>
  <c r="E228" i="7"/>
  <c r="D228" i="7"/>
  <c r="C228" i="7"/>
  <c r="B228" i="7"/>
  <c r="A228" i="7"/>
  <c r="E227" i="7"/>
  <c r="D227" i="7"/>
  <c r="C227" i="7"/>
  <c r="B227" i="7"/>
  <c r="A227" i="7"/>
  <c r="E226" i="7"/>
  <c r="D226" i="7"/>
  <c r="C226" i="7"/>
  <c r="B226" i="7"/>
  <c r="A226" i="7"/>
  <c r="E225" i="7"/>
  <c r="D225" i="7"/>
  <c r="C225" i="7"/>
  <c r="B225" i="7"/>
  <c r="A225" i="7"/>
  <c r="E224" i="7"/>
  <c r="D224" i="7"/>
  <c r="C224" i="7"/>
  <c r="B224" i="7"/>
  <c r="A224" i="7"/>
  <c r="E223" i="7"/>
  <c r="D223" i="7"/>
  <c r="C223" i="7"/>
  <c r="B223" i="7"/>
  <c r="A223" i="7"/>
  <c r="E222" i="7"/>
  <c r="D222" i="7"/>
  <c r="C222" i="7"/>
  <c r="B222" i="7"/>
  <c r="A222" i="7"/>
  <c r="E221" i="7"/>
  <c r="D221" i="7"/>
  <c r="C221" i="7"/>
  <c r="B221" i="7"/>
  <c r="A221" i="7"/>
  <c r="E220" i="7"/>
  <c r="D220" i="7"/>
  <c r="C220" i="7"/>
  <c r="B220" i="7"/>
  <c r="A220" i="7"/>
  <c r="E219" i="7"/>
  <c r="D219" i="7"/>
  <c r="C219" i="7"/>
  <c r="B219" i="7"/>
  <c r="A219" i="7"/>
  <c r="E218" i="7"/>
  <c r="D218" i="7"/>
  <c r="C218" i="7"/>
  <c r="B218" i="7"/>
  <c r="A218" i="7"/>
  <c r="E217" i="7"/>
  <c r="D217" i="7"/>
  <c r="C217" i="7"/>
  <c r="B217" i="7"/>
  <c r="A217" i="7"/>
  <c r="E216" i="7"/>
  <c r="D216" i="7"/>
  <c r="C216" i="7"/>
  <c r="B216" i="7"/>
  <c r="A216" i="7"/>
  <c r="E215" i="7"/>
  <c r="D215" i="7"/>
  <c r="C215" i="7"/>
  <c r="B215" i="7"/>
  <c r="A215" i="7"/>
  <c r="E214" i="7"/>
  <c r="D214" i="7"/>
  <c r="C214" i="7"/>
  <c r="B214" i="7"/>
  <c r="A214" i="7"/>
  <c r="E213" i="7"/>
  <c r="D213" i="7"/>
  <c r="C213" i="7"/>
  <c r="B213" i="7"/>
  <c r="A213" i="7"/>
  <c r="E212" i="7"/>
  <c r="D212" i="7"/>
  <c r="C212" i="7"/>
  <c r="B212" i="7"/>
  <c r="A212" i="7"/>
  <c r="E211" i="7"/>
  <c r="D211" i="7"/>
  <c r="C211" i="7"/>
  <c r="B211" i="7"/>
  <c r="A211" i="7"/>
  <c r="E210" i="7"/>
  <c r="D210" i="7"/>
  <c r="C210" i="7"/>
  <c r="B210" i="7"/>
  <c r="A210" i="7"/>
  <c r="E209" i="7"/>
  <c r="D209" i="7"/>
  <c r="C209" i="7"/>
  <c r="B209" i="7"/>
  <c r="A209" i="7"/>
  <c r="E208" i="7"/>
  <c r="D208" i="7"/>
  <c r="C208" i="7"/>
  <c r="B208" i="7"/>
  <c r="A208" i="7"/>
  <c r="E207" i="7"/>
  <c r="D207" i="7"/>
  <c r="C207" i="7"/>
  <c r="B207" i="7"/>
  <c r="A207" i="7"/>
  <c r="E206" i="7"/>
  <c r="D206" i="7"/>
  <c r="C206" i="7"/>
  <c r="B206" i="7"/>
  <c r="A206" i="7"/>
  <c r="E205" i="7"/>
  <c r="D205" i="7"/>
  <c r="C205" i="7"/>
  <c r="B205" i="7"/>
  <c r="A205" i="7"/>
  <c r="E204" i="7"/>
  <c r="D204" i="7"/>
  <c r="C204" i="7"/>
  <c r="B204" i="7"/>
  <c r="A204" i="7"/>
  <c r="E203" i="7"/>
  <c r="D203" i="7"/>
  <c r="C203" i="7"/>
  <c r="B203" i="7"/>
  <c r="A203" i="7"/>
  <c r="E202" i="7"/>
  <c r="D202" i="7"/>
  <c r="C202" i="7"/>
  <c r="B202" i="7"/>
  <c r="A202" i="7"/>
  <c r="E201" i="7"/>
  <c r="D201" i="7"/>
  <c r="C201" i="7"/>
  <c r="B201" i="7"/>
  <c r="A201" i="7"/>
  <c r="E200" i="7"/>
  <c r="D200" i="7"/>
  <c r="C200" i="7"/>
  <c r="B200" i="7"/>
  <c r="A200" i="7"/>
  <c r="E199" i="7"/>
  <c r="D199" i="7"/>
  <c r="C199" i="7"/>
  <c r="B199" i="7"/>
  <c r="A199" i="7"/>
  <c r="E198" i="7"/>
  <c r="D198" i="7"/>
  <c r="C198" i="7"/>
  <c r="B198" i="7"/>
  <c r="A198" i="7"/>
  <c r="E197" i="7"/>
  <c r="D197" i="7"/>
  <c r="C197" i="7"/>
  <c r="B197" i="7"/>
  <c r="A197" i="7"/>
  <c r="E196" i="7"/>
  <c r="D196" i="7"/>
  <c r="C196" i="7"/>
  <c r="B196" i="7"/>
  <c r="A196" i="7"/>
  <c r="E195" i="7"/>
  <c r="D195" i="7"/>
  <c r="C195" i="7"/>
  <c r="B195" i="7"/>
  <c r="A195" i="7"/>
  <c r="E194" i="7"/>
  <c r="D194" i="7"/>
  <c r="C194" i="7"/>
  <c r="B194" i="7"/>
  <c r="A194" i="7"/>
  <c r="E193" i="7"/>
  <c r="D193" i="7"/>
  <c r="C193" i="7"/>
  <c r="B193" i="7"/>
  <c r="A193" i="7"/>
  <c r="E192" i="7"/>
  <c r="D192" i="7"/>
  <c r="C192" i="7"/>
  <c r="B192" i="7"/>
  <c r="A192" i="7"/>
  <c r="E191" i="7"/>
  <c r="D191" i="7"/>
  <c r="C191" i="7"/>
  <c r="B191" i="7"/>
  <c r="A191" i="7"/>
  <c r="E190" i="7"/>
  <c r="D190" i="7"/>
  <c r="C190" i="7"/>
  <c r="B190" i="7"/>
  <c r="A190" i="7"/>
  <c r="E189" i="7"/>
  <c r="D189" i="7"/>
  <c r="C189" i="7"/>
  <c r="B189" i="7"/>
  <c r="A189" i="7"/>
  <c r="E188" i="7"/>
  <c r="D188" i="7"/>
  <c r="C188" i="7"/>
  <c r="B188" i="7"/>
  <c r="A188" i="7"/>
  <c r="E187" i="7"/>
  <c r="D187" i="7"/>
  <c r="C187" i="7"/>
  <c r="B187" i="7"/>
  <c r="A187" i="7"/>
  <c r="E186" i="7"/>
  <c r="D186" i="7"/>
  <c r="C186" i="7"/>
  <c r="B186" i="7"/>
  <c r="A186" i="7"/>
  <c r="E185" i="7"/>
  <c r="D185" i="7"/>
  <c r="C185" i="7"/>
  <c r="B185" i="7"/>
  <c r="A185" i="7"/>
  <c r="G184" i="7"/>
  <c r="E184" i="7"/>
  <c r="D184" i="7"/>
  <c r="C184" i="7"/>
  <c r="F184" i="7" s="1"/>
  <c r="B184" i="7"/>
  <c r="A184" i="7"/>
  <c r="E183" i="7"/>
  <c r="D183" i="7"/>
  <c r="C183" i="7"/>
  <c r="B183" i="7"/>
  <c r="A183" i="7"/>
  <c r="E182" i="7"/>
  <c r="D182" i="7"/>
  <c r="C182" i="7"/>
  <c r="B182" i="7"/>
  <c r="A182" i="7"/>
  <c r="E181" i="7"/>
  <c r="D181" i="7"/>
  <c r="C181" i="7"/>
  <c r="B181" i="7"/>
  <c r="A181" i="7"/>
  <c r="E180" i="7"/>
  <c r="D180" i="7"/>
  <c r="C180" i="7"/>
  <c r="B180" i="7"/>
  <c r="A180" i="7"/>
  <c r="E179" i="7"/>
  <c r="D179" i="7"/>
  <c r="C179" i="7"/>
  <c r="B179" i="7"/>
  <c r="A179" i="7"/>
  <c r="E178" i="7"/>
  <c r="D178" i="7"/>
  <c r="C178" i="7"/>
  <c r="B178" i="7"/>
  <c r="A178" i="7"/>
  <c r="E177" i="7"/>
  <c r="D177" i="7"/>
  <c r="C177" i="7"/>
  <c r="B177" i="7"/>
  <c r="A177" i="7"/>
  <c r="E176" i="7"/>
  <c r="D176" i="7"/>
  <c r="C176" i="7"/>
  <c r="B176" i="7"/>
  <c r="A176" i="7"/>
  <c r="E175" i="7"/>
  <c r="D175" i="7"/>
  <c r="C175" i="7"/>
  <c r="B175" i="7"/>
  <c r="A175" i="7"/>
  <c r="E174" i="7"/>
  <c r="D174" i="7"/>
  <c r="C174" i="7"/>
  <c r="B174" i="7"/>
  <c r="A174" i="7"/>
  <c r="E173" i="7"/>
  <c r="D173" i="7"/>
  <c r="C173" i="7"/>
  <c r="B173" i="7"/>
  <c r="A173" i="7"/>
  <c r="E172" i="7"/>
  <c r="D172" i="7"/>
  <c r="C172" i="7"/>
  <c r="B172" i="7"/>
  <c r="A172" i="7"/>
  <c r="E171" i="7"/>
  <c r="D171" i="7"/>
  <c r="C171" i="7"/>
  <c r="B171" i="7"/>
  <c r="A171" i="7"/>
  <c r="E170" i="7"/>
  <c r="D170" i="7"/>
  <c r="C170" i="7"/>
  <c r="B170" i="7"/>
  <c r="A170" i="7"/>
  <c r="E169" i="7"/>
  <c r="D169" i="7"/>
  <c r="C169" i="7"/>
  <c r="B169" i="7"/>
  <c r="A169" i="7"/>
  <c r="E168" i="7"/>
  <c r="D168" i="7"/>
  <c r="C168" i="7"/>
  <c r="B168" i="7"/>
  <c r="A168" i="7"/>
  <c r="E167" i="7"/>
  <c r="D167" i="7"/>
  <c r="C167" i="7"/>
  <c r="B167" i="7"/>
  <c r="A167" i="7"/>
  <c r="E166" i="7"/>
  <c r="D166" i="7"/>
  <c r="C166" i="7"/>
  <c r="B166" i="7"/>
  <c r="A166" i="7"/>
  <c r="E165" i="7"/>
  <c r="D165" i="7"/>
  <c r="C165" i="7"/>
  <c r="B165" i="7"/>
  <c r="A165" i="7"/>
  <c r="E164" i="7"/>
  <c r="D164" i="7"/>
  <c r="C164" i="7"/>
  <c r="B164" i="7"/>
  <c r="A164" i="7"/>
  <c r="E163" i="7"/>
  <c r="D163" i="7"/>
  <c r="C163" i="7"/>
  <c r="B163" i="7"/>
  <c r="A163" i="7"/>
  <c r="E162" i="7"/>
  <c r="D162" i="7"/>
  <c r="C162" i="7"/>
  <c r="B162" i="7"/>
  <c r="A162" i="7"/>
  <c r="E161" i="7"/>
  <c r="D161" i="7"/>
  <c r="C161" i="7"/>
  <c r="B161" i="7"/>
  <c r="A161" i="7"/>
  <c r="E160" i="7"/>
  <c r="D160" i="7"/>
  <c r="C160" i="7"/>
  <c r="B160" i="7"/>
  <c r="A160" i="7"/>
  <c r="E159" i="7"/>
  <c r="D159" i="7"/>
  <c r="C159" i="7"/>
  <c r="B159" i="7"/>
  <c r="A159" i="7"/>
  <c r="E158" i="7"/>
  <c r="D158" i="7"/>
  <c r="C158" i="7"/>
  <c r="B158" i="7"/>
  <c r="A158" i="7"/>
  <c r="E157" i="7"/>
  <c r="D157" i="7"/>
  <c r="C157" i="7"/>
  <c r="B157" i="7"/>
  <c r="A157" i="7"/>
  <c r="E156" i="7"/>
  <c r="D156" i="7"/>
  <c r="C156" i="7"/>
  <c r="B156" i="7"/>
  <c r="A156" i="7"/>
  <c r="E155" i="7"/>
  <c r="D155" i="7"/>
  <c r="C155" i="7"/>
  <c r="B155" i="7"/>
  <c r="A155" i="7"/>
  <c r="E154" i="7"/>
  <c r="D154" i="7"/>
  <c r="C154" i="7"/>
  <c r="B154" i="7"/>
  <c r="A154" i="7"/>
  <c r="E153" i="7"/>
  <c r="D153" i="7"/>
  <c r="C153" i="7"/>
  <c r="B153" i="7"/>
  <c r="A153" i="7"/>
  <c r="E152" i="7"/>
  <c r="D152" i="7"/>
  <c r="C152" i="7"/>
  <c r="B152" i="7"/>
  <c r="A152" i="7"/>
  <c r="E151" i="7"/>
  <c r="D151" i="7"/>
  <c r="C151" i="7"/>
  <c r="B151" i="7"/>
  <c r="A151" i="7"/>
  <c r="E150" i="7"/>
  <c r="D150" i="7"/>
  <c r="C150" i="7"/>
  <c r="B150" i="7"/>
  <c r="A150" i="7"/>
  <c r="E149" i="7"/>
  <c r="D149" i="7"/>
  <c r="C149" i="7"/>
  <c r="B149" i="7"/>
  <c r="A149" i="7"/>
  <c r="E148" i="7"/>
  <c r="D148" i="7"/>
  <c r="C148" i="7"/>
  <c r="B148" i="7"/>
  <c r="A148" i="7"/>
  <c r="E147" i="7"/>
  <c r="D147" i="7"/>
  <c r="C147" i="7"/>
  <c r="B147" i="7"/>
  <c r="A147" i="7"/>
  <c r="E146" i="7"/>
  <c r="D146" i="7"/>
  <c r="C146" i="7"/>
  <c r="B146" i="7"/>
  <c r="A146" i="7"/>
  <c r="E145" i="7"/>
  <c r="D145" i="7"/>
  <c r="C145" i="7"/>
  <c r="B145" i="7"/>
  <c r="A145" i="7"/>
  <c r="E144" i="7"/>
  <c r="D144" i="7"/>
  <c r="C144" i="7"/>
  <c r="B144" i="7"/>
  <c r="A144" i="7"/>
  <c r="E143" i="7"/>
  <c r="D143" i="7"/>
  <c r="C143" i="7"/>
  <c r="B143" i="7"/>
  <c r="A143" i="7"/>
  <c r="E142" i="7"/>
  <c r="D142" i="7"/>
  <c r="C142" i="7"/>
  <c r="B142" i="7"/>
  <c r="A142" i="7"/>
  <c r="E141" i="7"/>
  <c r="D141" i="7"/>
  <c r="C141" i="7"/>
  <c r="B141" i="7"/>
  <c r="A141" i="7"/>
  <c r="E140" i="7"/>
  <c r="D140" i="7"/>
  <c r="C140" i="7"/>
  <c r="B140" i="7"/>
  <c r="A140" i="7"/>
  <c r="E139" i="7"/>
  <c r="D139" i="7"/>
  <c r="C139" i="7"/>
  <c r="B139" i="7"/>
  <c r="A139" i="7"/>
  <c r="E138" i="7"/>
  <c r="D138" i="7"/>
  <c r="C138" i="7"/>
  <c r="B138" i="7"/>
  <c r="A138" i="7"/>
  <c r="E137" i="7"/>
  <c r="D137" i="7"/>
  <c r="C137" i="7"/>
  <c r="B137" i="7"/>
  <c r="A137" i="7"/>
  <c r="E136" i="7"/>
  <c r="D136" i="7"/>
  <c r="C136" i="7"/>
  <c r="B136" i="7"/>
  <c r="A136" i="7"/>
  <c r="E135" i="7"/>
  <c r="D135" i="7"/>
  <c r="C135" i="7"/>
  <c r="B135" i="7"/>
  <c r="A135" i="7"/>
  <c r="E134" i="7"/>
  <c r="D134" i="7"/>
  <c r="C134" i="7"/>
  <c r="B134" i="7"/>
  <c r="A134" i="7"/>
  <c r="E133" i="7"/>
  <c r="D133" i="7"/>
  <c r="C133" i="7"/>
  <c r="B133" i="7"/>
  <c r="A133" i="7"/>
  <c r="E132" i="7"/>
  <c r="D132" i="7"/>
  <c r="C132" i="7"/>
  <c r="B132" i="7"/>
  <c r="A132" i="7"/>
  <c r="E131" i="7"/>
  <c r="D131" i="7"/>
  <c r="C131" i="7"/>
  <c r="B131" i="7"/>
  <c r="A131" i="7"/>
  <c r="E130" i="7"/>
  <c r="D130" i="7"/>
  <c r="C130" i="7"/>
  <c r="B130" i="7"/>
  <c r="A130" i="7"/>
  <c r="E129" i="7"/>
  <c r="D129" i="7"/>
  <c r="C129" i="7"/>
  <c r="B129" i="7"/>
  <c r="A129" i="7"/>
  <c r="E128" i="7"/>
  <c r="D128" i="7"/>
  <c r="C128" i="7"/>
  <c r="B128" i="7"/>
  <c r="A128" i="7"/>
  <c r="E127" i="7"/>
  <c r="D127" i="7"/>
  <c r="C127" i="7"/>
  <c r="B127" i="7"/>
  <c r="A127" i="7"/>
  <c r="E126" i="7"/>
  <c r="D126" i="7"/>
  <c r="C126" i="7"/>
  <c r="B126" i="7"/>
  <c r="A126" i="7"/>
  <c r="E125" i="7"/>
  <c r="D125" i="7"/>
  <c r="C125" i="7"/>
  <c r="B125" i="7"/>
  <c r="A125" i="7"/>
  <c r="E124" i="7"/>
  <c r="D124" i="7"/>
  <c r="C124" i="7"/>
  <c r="B124" i="7"/>
  <c r="A124" i="7"/>
  <c r="E123" i="7"/>
  <c r="D123" i="7"/>
  <c r="C123" i="7"/>
  <c r="B123" i="7"/>
  <c r="A123" i="7"/>
  <c r="E122" i="7"/>
  <c r="D122" i="7"/>
  <c r="C122" i="7"/>
  <c r="B122" i="7"/>
  <c r="A122" i="7"/>
  <c r="E121" i="7"/>
  <c r="D121" i="7"/>
  <c r="C121" i="7"/>
  <c r="B121" i="7"/>
  <c r="A121" i="7"/>
  <c r="E120" i="7"/>
  <c r="D120" i="7"/>
  <c r="C120" i="7"/>
  <c r="B120" i="7"/>
  <c r="A120" i="7"/>
  <c r="E119" i="7"/>
  <c r="D119" i="7"/>
  <c r="C119" i="7"/>
  <c r="B119" i="7"/>
  <c r="A119" i="7"/>
  <c r="E118" i="7"/>
  <c r="D118" i="7"/>
  <c r="C118" i="7"/>
  <c r="B118" i="7"/>
  <c r="A118" i="7"/>
  <c r="E117" i="7"/>
  <c r="D117" i="7"/>
  <c r="C117" i="7"/>
  <c r="B117" i="7"/>
  <c r="A117" i="7"/>
  <c r="E116" i="7"/>
  <c r="D116" i="7"/>
  <c r="C116" i="7"/>
  <c r="B116" i="7"/>
  <c r="A116" i="7"/>
  <c r="E115" i="7"/>
  <c r="D115" i="7"/>
  <c r="C115" i="7"/>
  <c r="B115" i="7"/>
  <c r="A115" i="7"/>
  <c r="E114" i="7"/>
  <c r="D114" i="7"/>
  <c r="C114" i="7"/>
  <c r="B114" i="7"/>
  <c r="A114" i="7"/>
  <c r="E113" i="7"/>
  <c r="D113" i="7"/>
  <c r="C113" i="7"/>
  <c r="B113" i="7"/>
  <c r="A113" i="7"/>
  <c r="G112" i="7"/>
  <c r="F112" i="7"/>
  <c r="E112" i="7"/>
  <c r="D112" i="7"/>
  <c r="C112" i="7"/>
  <c r="B112" i="7"/>
  <c r="A112" i="7"/>
  <c r="E111" i="7"/>
  <c r="D111" i="7"/>
  <c r="C111" i="7"/>
  <c r="B111" i="7"/>
  <c r="A111" i="7"/>
  <c r="E110" i="7"/>
  <c r="D110" i="7"/>
  <c r="C110" i="7"/>
  <c r="B110" i="7"/>
  <c r="A110" i="7"/>
  <c r="E109" i="7"/>
  <c r="D109" i="7"/>
  <c r="C109" i="7"/>
  <c r="B109" i="7"/>
  <c r="A109" i="7"/>
  <c r="E108" i="7"/>
  <c r="D108" i="7"/>
  <c r="C108" i="7"/>
  <c r="B108" i="7"/>
  <c r="A108" i="7"/>
  <c r="E107" i="7"/>
  <c r="D107" i="7"/>
  <c r="C107" i="7"/>
  <c r="B107" i="7"/>
  <c r="A107" i="7"/>
  <c r="E106" i="7"/>
  <c r="D106" i="7"/>
  <c r="C106" i="7"/>
  <c r="B106" i="7"/>
  <c r="A106" i="7"/>
  <c r="E105" i="7"/>
  <c r="D105" i="7"/>
  <c r="C105" i="7"/>
  <c r="B105" i="7"/>
  <c r="A105" i="7"/>
  <c r="E104" i="7"/>
  <c r="D104" i="7"/>
  <c r="C104" i="7"/>
  <c r="B104" i="7"/>
  <c r="A104" i="7"/>
  <c r="E103" i="7"/>
  <c r="D103" i="7"/>
  <c r="C103" i="7"/>
  <c r="B103" i="7"/>
  <c r="A103" i="7"/>
  <c r="E102" i="7"/>
  <c r="D102" i="7"/>
  <c r="C102" i="7"/>
  <c r="B102" i="7"/>
  <c r="A102" i="7"/>
  <c r="E101" i="7"/>
  <c r="D101" i="7"/>
  <c r="C101" i="7"/>
  <c r="B101" i="7"/>
  <c r="A101" i="7"/>
  <c r="E100" i="7"/>
  <c r="D100" i="7"/>
  <c r="C100" i="7"/>
  <c r="B100" i="7"/>
  <c r="A100" i="7"/>
  <c r="E99" i="7"/>
  <c r="D99" i="7"/>
  <c r="C99" i="7"/>
  <c r="B99" i="7"/>
  <c r="A99" i="7"/>
  <c r="E98" i="7"/>
  <c r="D98" i="7"/>
  <c r="C98" i="7"/>
  <c r="B98" i="7"/>
  <c r="A98" i="7"/>
  <c r="E97" i="7"/>
  <c r="D97" i="7"/>
  <c r="C97" i="7"/>
  <c r="B97" i="7"/>
  <c r="A97" i="7"/>
  <c r="E96" i="7"/>
  <c r="D96" i="7"/>
  <c r="C96" i="7"/>
  <c r="B96" i="7"/>
  <c r="A96" i="7"/>
  <c r="E95" i="7"/>
  <c r="D95" i="7"/>
  <c r="C95" i="7"/>
  <c r="B95" i="7"/>
  <c r="A95" i="7"/>
  <c r="E94" i="7"/>
  <c r="D94" i="7"/>
  <c r="C94" i="7"/>
  <c r="B94" i="7"/>
  <c r="A94" i="7"/>
  <c r="E93" i="7"/>
  <c r="D93" i="7"/>
  <c r="C93" i="7"/>
  <c r="B93" i="7"/>
  <c r="A93" i="7"/>
  <c r="E92" i="7"/>
  <c r="D92" i="7"/>
  <c r="C92" i="7"/>
  <c r="B92" i="7"/>
  <c r="A92" i="7"/>
  <c r="E91" i="7"/>
  <c r="D91" i="7"/>
  <c r="C91" i="7"/>
  <c r="B91" i="7"/>
  <c r="A91" i="7"/>
  <c r="E90" i="7"/>
  <c r="D90" i="7"/>
  <c r="C90" i="7"/>
  <c r="B90" i="7"/>
  <c r="A90" i="7"/>
  <c r="E89" i="7"/>
  <c r="D89" i="7"/>
  <c r="C89" i="7"/>
  <c r="B89" i="7"/>
  <c r="A89" i="7"/>
  <c r="E88" i="7"/>
  <c r="D88" i="7"/>
  <c r="C88" i="7"/>
  <c r="B88" i="7"/>
  <c r="A88" i="7"/>
  <c r="E87" i="7"/>
  <c r="D87" i="7"/>
  <c r="C87" i="7"/>
  <c r="B87" i="7"/>
  <c r="A87" i="7"/>
  <c r="E86" i="7"/>
  <c r="D86" i="7"/>
  <c r="C86" i="7"/>
  <c r="B86" i="7"/>
  <c r="A86" i="7"/>
  <c r="E85" i="7"/>
  <c r="D85" i="7"/>
  <c r="C85" i="7"/>
  <c r="B85" i="7"/>
  <c r="A85" i="7"/>
  <c r="E84" i="7"/>
  <c r="D84" i="7"/>
  <c r="C84" i="7"/>
  <c r="B84" i="7"/>
  <c r="A84" i="7"/>
  <c r="E83" i="7"/>
  <c r="D83" i="7"/>
  <c r="C83" i="7"/>
  <c r="B83" i="7"/>
  <c r="A83" i="7"/>
  <c r="E82" i="7"/>
  <c r="D82" i="7"/>
  <c r="C82" i="7"/>
  <c r="B82" i="7"/>
  <c r="A82" i="7"/>
  <c r="E81" i="7"/>
  <c r="D81" i="7"/>
  <c r="C81" i="7"/>
  <c r="B81" i="7"/>
  <c r="A81" i="7"/>
  <c r="E80" i="7"/>
  <c r="D80" i="7"/>
  <c r="C80" i="7"/>
  <c r="B80" i="7"/>
  <c r="A80" i="7"/>
  <c r="E79" i="7"/>
  <c r="D79" i="7"/>
  <c r="C79" i="7"/>
  <c r="B79" i="7"/>
  <c r="A79" i="7"/>
  <c r="E78" i="7"/>
  <c r="D78" i="7"/>
  <c r="C78" i="7"/>
  <c r="B78" i="7"/>
  <c r="A78" i="7"/>
  <c r="E77" i="7"/>
  <c r="D77" i="7"/>
  <c r="C77" i="7"/>
  <c r="B77" i="7"/>
  <c r="A77" i="7"/>
  <c r="E76" i="7"/>
  <c r="D76" i="7"/>
  <c r="C76" i="7"/>
  <c r="B76" i="7"/>
  <c r="A76" i="7"/>
  <c r="E75" i="7"/>
  <c r="D75" i="7"/>
  <c r="C75" i="7"/>
  <c r="B75" i="7"/>
  <c r="A75" i="7"/>
  <c r="E74" i="7"/>
  <c r="D74" i="7"/>
  <c r="C74" i="7"/>
  <c r="B74" i="7"/>
  <c r="A74" i="7"/>
  <c r="E73" i="7"/>
  <c r="D73" i="7"/>
  <c r="C73" i="7"/>
  <c r="B73" i="7"/>
  <c r="A73" i="7"/>
  <c r="E72" i="7"/>
  <c r="D72" i="7"/>
  <c r="C72" i="7"/>
  <c r="B72" i="7"/>
  <c r="A72" i="7"/>
  <c r="E71" i="7"/>
  <c r="D71" i="7"/>
  <c r="C71" i="7"/>
  <c r="B71" i="7"/>
  <c r="A71" i="7"/>
  <c r="E70" i="7"/>
  <c r="D70" i="7"/>
  <c r="C70" i="7"/>
  <c r="B70" i="7"/>
  <c r="A70" i="7"/>
  <c r="E69" i="7"/>
  <c r="D69" i="7"/>
  <c r="C69" i="7"/>
  <c r="B69" i="7"/>
  <c r="A69" i="7"/>
  <c r="E68" i="7"/>
  <c r="D68" i="7"/>
  <c r="C68" i="7"/>
  <c r="B68" i="7"/>
  <c r="A68" i="7"/>
  <c r="E67" i="7"/>
  <c r="D67" i="7"/>
  <c r="C67" i="7"/>
  <c r="B67" i="7"/>
  <c r="A67" i="7"/>
  <c r="E66" i="7"/>
  <c r="D66" i="7"/>
  <c r="C66" i="7"/>
  <c r="B66" i="7"/>
  <c r="A66" i="7"/>
  <c r="E65" i="7"/>
  <c r="D65" i="7"/>
  <c r="C65" i="7"/>
  <c r="B65" i="7"/>
  <c r="A65" i="7"/>
  <c r="E64" i="7"/>
  <c r="D64" i="7"/>
  <c r="C64" i="7"/>
  <c r="B64" i="7"/>
  <c r="A64" i="7"/>
  <c r="E63" i="7"/>
  <c r="D63" i="7"/>
  <c r="C63" i="7"/>
  <c r="B63" i="7"/>
  <c r="A63" i="7"/>
  <c r="E62" i="7"/>
  <c r="D62" i="7"/>
  <c r="C62" i="7"/>
  <c r="B62" i="7"/>
  <c r="A62" i="7"/>
  <c r="E61" i="7"/>
  <c r="D61" i="7"/>
  <c r="C61" i="7"/>
  <c r="B61" i="7"/>
  <c r="A61" i="7"/>
  <c r="E60" i="7"/>
  <c r="D60" i="7"/>
  <c r="C60" i="7"/>
  <c r="B60" i="7"/>
  <c r="A60" i="7"/>
  <c r="E59" i="7"/>
  <c r="D59" i="7"/>
  <c r="C59" i="7"/>
  <c r="B59" i="7"/>
  <c r="A59" i="7"/>
  <c r="E58" i="7"/>
  <c r="D58" i="7"/>
  <c r="C58" i="7"/>
  <c r="B58" i="7"/>
  <c r="A58" i="7"/>
  <c r="E57" i="7"/>
  <c r="D57" i="7"/>
  <c r="C57" i="7"/>
  <c r="B57" i="7"/>
  <c r="A57" i="7"/>
  <c r="E56" i="7"/>
  <c r="D56" i="7"/>
  <c r="C56" i="7"/>
  <c r="B56" i="7"/>
  <c r="A56" i="7"/>
  <c r="E55" i="7"/>
  <c r="D55" i="7"/>
  <c r="C55" i="7"/>
  <c r="B55" i="7"/>
  <c r="A55" i="7"/>
  <c r="E54" i="7"/>
  <c r="D54" i="7"/>
  <c r="C54" i="7"/>
  <c r="B54" i="7"/>
  <c r="A54" i="7"/>
  <c r="E53" i="7"/>
  <c r="D53" i="7"/>
  <c r="C53" i="7"/>
  <c r="B53" i="7"/>
  <c r="A53" i="7"/>
  <c r="E52" i="7"/>
  <c r="D52" i="7"/>
  <c r="C52" i="7"/>
  <c r="B52" i="7"/>
  <c r="A52" i="7"/>
  <c r="E51" i="7"/>
  <c r="D51" i="7"/>
  <c r="C51" i="7"/>
  <c r="B51" i="7"/>
  <c r="A51" i="7"/>
  <c r="E50" i="7"/>
  <c r="D50" i="7"/>
  <c r="C50" i="7"/>
  <c r="B50" i="7"/>
  <c r="A50" i="7"/>
  <c r="E49" i="7"/>
  <c r="D49" i="7"/>
  <c r="C49" i="7"/>
  <c r="B49" i="7"/>
  <c r="A49" i="7"/>
  <c r="E48" i="7"/>
  <c r="D48" i="7"/>
  <c r="C48" i="7"/>
  <c r="B48" i="7"/>
  <c r="A48" i="7"/>
  <c r="E47" i="7"/>
  <c r="D47" i="7"/>
  <c r="C47" i="7"/>
  <c r="B47" i="7"/>
  <c r="A47" i="7"/>
  <c r="E46" i="7"/>
  <c r="D46" i="7"/>
  <c r="C46" i="7"/>
  <c r="B46" i="7"/>
  <c r="A46" i="7"/>
  <c r="E45" i="7"/>
  <c r="D45" i="7"/>
  <c r="C45" i="7"/>
  <c r="B45" i="7"/>
  <c r="A45" i="7"/>
  <c r="E44" i="7"/>
  <c r="D44" i="7"/>
  <c r="C44" i="7"/>
  <c r="B44" i="7"/>
  <c r="A44" i="7"/>
  <c r="E43" i="7"/>
  <c r="D43" i="7"/>
  <c r="C43" i="7"/>
  <c r="B43" i="7"/>
  <c r="A43" i="7"/>
  <c r="E42" i="7"/>
  <c r="D42" i="7"/>
  <c r="C42" i="7"/>
  <c r="B42" i="7"/>
  <c r="A42" i="7"/>
  <c r="E41" i="7"/>
  <c r="D41" i="7"/>
  <c r="C41" i="7"/>
  <c r="B41" i="7"/>
  <c r="A41" i="7"/>
  <c r="E40" i="7"/>
  <c r="D40" i="7"/>
  <c r="C40" i="7"/>
  <c r="B40" i="7"/>
  <c r="A40" i="7"/>
  <c r="E39" i="7"/>
  <c r="D39" i="7"/>
  <c r="C39" i="7"/>
  <c r="B39" i="7"/>
  <c r="A39" i="7"/>
  <c r="E38" i="7"/>
  <c r="D38" i="7"/>
  <c r="C38" i="7"/>
  <c r="B38" i="7"/>
  <c r="A38" i="7"/>
  <c r="E37" i="7"/>
  <c r="D37" i="7"/>
  <c r="C37" i="7"/>
  <c r="B37" i="7"/>
  <c r="A37" i="7"/>
  <c r="E36" i="7"/>
  <c r="D36" i="7"/>
  <c r="C36" i="7"/>
  <c r="B36" i="7"/>
  <c r="A36" i="7"/>
  <c r="E35" i="7"/>
  <c r="D35" i="7"/>
  <c r="C35" i="7"/>
  <c r="B35" i="7"/>
  <c r="A35" i="7"/>
  <c r="E34" i="7"/>
  <c r="D34" i="7"/>
  <c r="C34" i="7"/>
  <c r="B34" i="7"/>
  <c r="A34" i="7"/>
  <c r="E33" i="7"/>
  <c r="D33" i="7"/>
  <c r="C33" i="7"/>
  <c r="B33" i="7"/>
  <c r="A33" i="7"/>
  <c r="E32" i="7"/>
  <c r="D32" i="7"/>
  <c r="C32" i="7"/>
  <c r="B32" i="7"/>
  <c r="A32" i="7"/>
  <c r="E31" i="7"/>
  <c r="D31" i="7"/>
  <c r="C31" i="7"/>
  <c r="B31" i="7"/>
  <c r="A31" i="7"/>
  <c r="E30" i="7"/>
  <c r="D30" i="7"/>
  <c r="C30" i="7"/>
  <c r="B30" i="7"/>
  <c r="A30" i="7"/>
  <c r="E29" i="7"/>
  <c r="D29" i="7"/>
  <c r="C29" i="7"/>
  <c r="B29" i="7"/>
  <c r="A29" i="7"/>
  <c r="E28" i="7"/>
  <c r="D28" i="7"/>
  <c r="C28" i="7"/>
  <c r="B28" i="7"/>
  <c r="A28" i="7"/>
  <c r="E27" i="7"/>
  <c r="D27" i="7"/>
  <c r="C27" i="7"/>
  <c r="B27" i="7"/>
  <c r="A27" i="7"/>
  <c r="E26" i="7"/>
  <c r="D26" i="7"/>
  <c r="C26" i="7"/>
  <c r="B26" i="7"/>
  <c r="A26" i="7"/>
  <c r="E25" i="7"/>
  <c r="D25" i="7"/>
  <c r="C25" i="7"/>
  <c r="B25" i="7"/>
  <c r="A25" i="7"/>
  <c r="E24" i="7"/>
  <c r="D24" i="7"/>
  <c r="C24" i="7"/>
  <c r="B24" i="7"/>
  <c r="A24" i="7"/>
  <c r="E23" i="7"/>
  <c r="D23" i="7"/>
  <c r="C23" i="7"/>
  <c r="B23" i="7"/>
  <c r="A23" i="7"/>
  <c r="E22" i="7"/>
  <c r="D22" i="7"/>
  <c r="C22" i="7"/>
  <c r="B22" i="7"/>
  <c r="A22" i="7"/>
  <c r="E21" i="7"/>
  <c r="D21" i="7"/>
  <c r="C21" i="7"/>
  <c r="B21" i="7"/>
  <c r="A21" i="7"/>
  <c r="E20" i="7"/>
  <c r="D20" i="7"/>
  <c r="C20" i="7"/>
  <c r="B20" i="7"/>
  <c r="A20" i="7"/>
  <c r="E19" i="7"/>
  <c r="D19" i="7"/>
  <c r="C19" i="7"/>
  <c r="B19" i="7"/>
  <c r="A19" i="7"/>
  <c r="E18" i="7"/>
  <c r="D18" i="7"/>
  <c r="C18" i="7"/>
  <c r="B18" i="7"/>
  <c r="A18" i="7"/>
  <c r="E17" i="7"/>
  <c r="D17" i="7"/>
  <c r="C17" i="7"/>
  <c r="B17" i="7"/>
  <c r="A17" i="7"/>
  <c r="E16" i="7"/>
  <c r="D16" i="7"/>
  <c r="C16" i="7"/>
  <c r="B16" i="7"/>
  <c r="A16" i="7"/>
  <c r="E15" i="7"/>
  <c r="D15" i="7"/>
  <c r="C15" i="7"/>
  <c r="B15" i="7"/>
  <c r="A15" i="7"/>
  <c r="E14" i="7"/>
  <c r="D14" i="7"/>
  <c r="C14" i="7"/>
  <c r="B14" i="7"/>
  <c r="A14" i="7"/>
  <c r="E13" i="7"/>
  <c r="D13" i="7"/>
  <c r="C13" i="7"/>
  <c r="B13" i="7"/>
  <c r="A13" i="7"/>
  <c r="E12" i="7"/>
  <c r="D12" i="7"/>
  <c r="C12" i="7"/>
  <c r="B12" i="7"/>
  <c r="A12" i="7"/>
  <c r="E11" i="7"/>
  <c r="D11" i="7"/>
  <c r="C11" i="7"/>
  <c r="B11" i="7"/>
  <c r="A11" i="7"/>
  <c r="E10" i="7"/>
  <c r="D10" i="7"/>
  <c r="C10" i="7"/>
  <c r="B10" i="7"/>
  <c r="A10" i="7"/>
  <c r="E9" i="7"/>
  <c r="D9" i="7"/>
  <c r="C9" i="7"/>
  <c r="B9" i="7"/>
  <c r="A9" i="7"/>
  <c r="E8" i="7"/>
  <c r="D8" i="7"/>
  <c r="C8" i="7"/>
  <c r="B8" i="7"/>
  <c r="A8" i="7"/>
  <c r="E7" i="7"/>
  <c r="D7" i="7"/>
  <c r="C7" i="7"/>
  <c r="B7" i="7"/>
  <c r="A7" i="7"/>
  <c r="E6" i="7"/>
  <c r="D6" i="7"/>
  <c r="C6" i="7"/>
  <c r="B6" i="7"/>
  <c r="A6" i="7"/>
  <c r="E5" i="7"/>
  <c r="D5" i="7"/>
  <c r="C5" i="7"/>
  <c r="B5" i="7"/>
  <c r="A5" i="7"/>
  <c r="E4" i="7"/>
  <c r="D4" i="7"/>
  <c r="C4" i="7"/>
  <c r="B4" i="7"/>
  <c r="A4" i="7"/>
  <c r="D12" i="6"/>
  <c r="C12" i="6"/>
  <c r="C15" i="9" s="1"/>
  <c r="B12" i="6"/>
  <c r="A12" i="6"/>
  <c r="A15" i="9" s="1"/>
  <c r="D11" i="6"/>
  <c r="C11" i="6"/>
  <c r="C14" i="9" s="1"/>
  <c r="B11" i="6"/>
  <c r="A11" i="6"/>
  <c r="A14" i="9" s="1"/>
  <c r="D10" i="6"/>
  <c r="C10" i="6"/>
  <c r="C13" i="9" s="1"/>
  <c r="B10" i="6"/>
  <c r="A10" i="6"/>
  <c r="A13" i="9" s="1"/>
  <c r="F251" i="5"/>
  <c r="E251" i="5"/>
  <c r="D251" i="5"/>
  <c r="C251" i="5"/>
  <c r="B251" i="5"/>
  <c r="A251" i="5"/>
  <c r="F250" i="5"/>
  <c r="E250" i="5"/>
  <c r="D250" i="5"/>
  <c r="C250" i="5"/>
  <c r="B250" i="5"/>
  <c r="A250" i="5"/>
  <c r="F249" i="5"/>
  <c r="E249" i="5"/>
  <c r="D249" i="5"/>
  <c r="C249" i="5"/>
  <c r="B249" i="5"/>
  <c r="A249" i="5"/>
  <c r="F248" i="5"/>
  <c r="E248" i="5"/>
  <c r="D248" i="5"/>
  <c r="C248" i="5"/>
  <c r="B248" i="5"/>
  <c r="A248" i="5"/>
  <c r="F247" i="5"/>
  <c r="E247" i="5"/>
  <c r="D247" i="5"/>
  <c r="C247" i="5"/>
  <c r="B247" i="5"/>
  <c r="A247" i="5"/>
  <c r="F246" i="5"/>
  <c r="E246" i="5"/>
  <c r="D246" i="5"/>
  <c r="C246" i="5"/>
  <c r="B246" i="5"/>
  <c r="A246" i="5"/>
  <c r="F245" i="5"/>
  <c r="E245" i="5"/>
  <c r="D245" i="5"/>
  <c r="C245" i="5"/>
  <c r="B245" i="5"/>
  <c r="A245" i="5"/>
  <c r="F244" i="5"/>
  <c r="E244" i="5"/>
  <c r="D244" i="5"/>
  <c r="C244" i="5"/>
  <c r="B244" i="5"/>
  <c r="A244" i="5"/>
  <c r="F243" i="5"/>
  <c r="E243" i="5"/>
  <c r="D243" i="5"/>
  <c r="C243" i="5"/>
  <c r="B243" i="5"/>
  <c r="A243" i="5"/>
  <c r="F242" i="5"/>
  <c r="E242" i="5"/>
  <c r="D242" i="5"/>
  <c r="C242" i="5"/>
  <c r="B242" i="5"/>
  <c r="A242" i="5"/>
  <c r="F241" i="5"/>
  <c r="E241" i="5"/>
  <c r="D241" i="5"/>
  <c r="C241" i="5"/>
  <c r="B241" i="5"/>
  <c r="A241" i="5"/>
  <c r="F240" i="5"/>
  <c r="E240" i="5"/>
  <c r="D240" i="5"/>
  <c r="C240" i="5"/>
  <c r="B240" i="5"/>
  <c r="A240" i="5"/>
  <c r="F239" i="5"/>
  <c r="E239" i="5"/>
  <c r="D239" i="5"/>
  <c r="C239" i="5"/>
  <c r="B239" i="5"/>
  <c r="A239" i="5"/>
  <c r="F238" i="5"/>
  <c r="E238" i="5"/>
  <c r="D238" i="5"/>
  <c r="C238" i="5"/>
  <c r="B238" i="5"/>
  <c r="A238" i="5"/>
  <c r="F237" i="5"/>
  <c r="E237" i="5"/>
  <c r="D237" i="5"/>
  <c r="C237" i="5"/>
  <c r="B237" i="5"/>
  <c r="A237" i="5"/>
  <c r="F236" i="5"/>
  <c r="E236" i="5"/>
  <c r="D236" i="5"/>
  <c r="C236" i="5"/>
  <c r="B236" i="5"/>
  <c r="A236" i="5"/>
  <c r="F235" i="5"/>
  <c r="E235" i="5"/>
  <c r="D235" i="5"/>
  <c r="C235" i="5"/>
  <c r="B235" i="5"/>
  <c r="A235" i="5"/>
  <c r="F234" i="5"/>
  <c r="E234" i="5"/>
  <c r="D234" i="5"/>
  <c r="C234" i="5"/>
  <c r="B234" i="5"/>
  <c r="A234" i="5"/>
  <c r="F233" i="5"/>
  <c r="E233" i="5"/>
  <c r="D233" i="5"/>
  <c r="C233" i="5"/>
  <c r="B233" i="5"/>
  <c r="A233" i="5"/>
  <c r="F232" i="5"/>
  <c r="E232" i="5"/>
  <c r="D232" i="5"/>
  <c r="C232" i="5"/>
  <c r="B232" i="5"/>
  <c r="A232" i="5"/>
  <c r="F231" i="5"/>
  <c r="E231" i="5"/>
  <c r="D231" i="5"/>
  <c r="C231" i="5"/>
  <c r="B231" i="5"/>
  <c r="A231" i="5"/>
  <c r="F230" i="5"/>
  <c r="E230" i="5"/>
  <c r="D230" i="5"/>
  <c r="C230" i="5"/>
  <c r="B230" i="5"/>
  <c r="A230" i="5"/>
  <c r="F229" i="5"/>
  <c r="E229" i="5"/>
  <c r="D229" i="5"/>
  <c r="C229" i="5"/>
  <c r="B229" i="5"/>
  <c r="A229" i="5"/>
  <c r="F228" i="5"/>
  <c r="E228" i="5"/>
  <c r="D228" i="5"/>
  <c r="C228" i="5"/>
  <c r="B228" i="5"/>
  <c r="A228" i="5"/>
  <c r="F227" i="5"/>
  <c r="E227" i="5"/>
  <c r="D227" i="5"/>
  <c r="C227" i="5"/>
  <c r="B227" i="5"/>
  <c r="A227" i="5"/>
  <c r="I226" i="5"/>
  <c r="G226" i="5"/>
  <c r="H226" i="5" s="1"/>
  <c r="F226" i="5"/>
  <c r="E226" i="5"/>
  <c r="D226" i="5"/>
  <c r="C226" i="5"/>
  <c r="B226" i="5"/>
  <c r="A226" i="5"/>
  <c r="F225" i="5"/>
  <c r="E225" i="5"/>
  <c r="D225" i="5"/>
  <c r="C225" i="5"/>
  <c r="B225" i="5"/>
  <c r="A225" i="5"/>
  <c r="F224" i="5"/>
  <c r="E224" i="5"/>
  <c r="D224" i="5"/>
  <c r="C224" i="5"/>
  <c r="B224" i="5"/>
  <c r="A224" i="5"/>
  <c r="F223" i="5"/>
  <c r="E223" i="5"/>
  <c r="D223" i="5"/>
  <c r="C223" i="5"/>
  <c r="B223" i="5"/>
  <c r="A223" i="5"/>
  <c r="F222" i="5"/>
  <c r="E222" i="5"/>
  <c r="D222" i="5"/>
  <c r="C222" i="5"/>
  <c r="B222" i="5"/>
  <c r="A222" i="5"/>
  <c r="F221" i="5"/>
  <c r="E221" i="5"/>
  <c r="D221" i="5"/>
  <c r="C221" i="5"/>
  <c r="B221" i="5"/>
  <c r="A221" i="5"/>
  <c r="F220" i="5"/>
  <c r="E220" i="5"/>
  <c r="D220" i="5"/>
  <c r="C220" i="5"/>
  <c r="B220" i="5"/>
  <c r="A220" i="5"/>
  <c r="F219" i="5"/>
  <c r="E219" i="5"/>
  <c r="D219" i="5"/>
  <c r="C219" i="5"/>
  <c r="B219" i="5"/>
  <c r="A219" i="5"/>
  <c r="F218" i="5"/>
  <c r="E218" i="5"/>
  <c r="D218" i="5"/>
  <c r="C218" i="5"/>
  <c r="B218" i="5"/>
  <c r="A218" i="5"/>
  <c r="F217" i="5"/>
  <c r="E217" i="5"/>
  <c r="D217" i="5"/>
  <c r="C217" i="5"/>
  <c r="B217" i="5"/>
  <c r="A217" i="5"/>
  <c r="F216" i="5"/>
  <c r="E216" i="5"/>
  <c r="D216" i="5"/>
  <c r="C216" i="5"/>
  <c r="B216" i="5"/>
  <c r="A216" i="5"/>
  <c r="F215" i="5"/>
  <c r="E215" i="5"/>
  <c r="D215" i="5"/>
  <c r="C215" i="5"/>
  <c r="B215" i="5"/>
  <c r="A215" i="5"/>
  <c r="F214" i="5"/>
  <c r="E214" i="5"/>
  <c r="D214" i="5"/>
  <c r="C214" i="5"/>
  <c r="B214" i="5"/>
  <c r="A214" i="5"/>
  <c r="F213" i="5"/>
  <c r="E213" i="5"/>
  <c r="D213" i="5"/>
  <c r="C213" i="5"/>
  <c r="B213" i="5"/>
  <c r="A213" i="5"/>
  <c r="F212" i="5"/>
  <c r="E212" i="5"/>
  <c r="D212" i="5"/>
  <c r="C212" i="5"/>
  <c r="B212" i="5"/>
  <c r="A212" i="5"/>
  <c r="F211" i="5"/>
  <c r="E211" i="5"/>
  <c r="D211" i="5"/>
  <c r="C211" i="5"/>
  <c r="B211" i="5"/>
  <c r="A211" i="5"/>
  <c r="F210" i="5"/>
  <c r="E210" i="5"/>
  <c r="D210" i="5"/>
  <c r="C210" i="5"/>
  <c r="B210" i="5"/>
  <c r="A210" i="5"/>
  <c r="F209" i="5"/>
  <c r="E209" i="5"/>
  <c r="D209" i="5"/>
  <c r="C209" i="5"/>
  <c r="B209" i="5"/>
  <c r="A209" i="5"/>
  <c r="F208" i="5"/>
  <c r="E208" i="5"/>
  <c r="D208" i="5"/>
  <c r="C208" i="5"/>
  <c r="B208" i="5"/>
  <c r="A208" i="5"/>
  <c r="F207" i="5"/>
  <c r="E207" i="5"/>
  <c r="D207" i="5"/>
  <c r="C207" i="5"/>
  <c r="B207" i="5"/>
  <c r="A207" i="5"/>
  <c r="F206" i="5"/>
  <c r="E206" i="5"/>
  <c r="D206" i="5"/>
  <c r="C206" i="5"/>
  <c r="B206" i="5"/>
  <c r="A206" i="5"/>
  <c r="F205" i="5"/>
  <c r="E205" i="5"/>
  <c r="D205" i="5"/>
  <c r="C205" i="5"/>
  <c r="B205" i="5"/>
  <c r="A205" i="5"/>
  <c r="F204" i="5"/>
  <c r="E204" i="5"/>
  <c r="D204" i="5"/>
  <c r="C204" i="5"/>
  <c r="B204" i="5"/>
  <c r="A204" i="5"/>
  <c r="F203" i="5"/>
  <c r="E203" i="5"/>
  <c r="D203" i="5"/>
  <c r="C203" i="5"/>
  <c r="B203" i="5"/>
  <c r="A203" i="5"/>
  <c r="F202" i="5"/>
  <c r="E202" i="5"/>
  <c r="D202" i="5"/>
  <c r="C202" i="5"/>
  <c r="B202" i="5"/>
  <c r="A202" i="5"/>
  <c r="F201" i="5"/>
  <c r="E201" i="5"/>
  <c r="D201" i="5"/>
  <c r="C201" i="5"/>
  <c r="B201" i="5"/>
  <c r="A201" i="5"/>
  <c r="F200" i="5"/>
  <c r="E200" i="5"/>
  <c r="D200" i="5"/>
  <c r="C200" i="5"/>
  <c r="B200" i="5"/>
  <c r="A200" i="5"/>
  <c r="F199" i="5"/>
  <c r="E199" i="5"/>
  <c r="D199" i="5"/>
  <c r="C199" i="5"/>
  <c r="B199" i="5"/>
  <c r="A199" i="5"/>
  <c r="F198" i="5"/>
  <c r="E198" i="5"/>
  <c r="D198" i="5"/>
  <c r="C198" i="5"/>
  <c r="B198" i="5"/>
  <c r="A198" i="5"/>
  <c r="F197" i="5"/>
  <c r="E197" i="5"/>
  <c r="D197" i="5"/>
  <c r="C197" i="5"/>
  <c r="B197" i="5"/>
  <c r="A197" i="5"/>
  <c r="F196" i="5"/>
  <c r="E196" i="5"/>
  <c r="D196" i="5"/>
  <c r="C196" i="5"/>
  <c r="B196" i="5"/>
  <c r="A196" i="5"/>
  <c r="F195" i="5"/>
  <c r="E195" i="5"/>
  <c r="D195" i="5"/>
  <c r="C195" i="5"/>
  <c r="B195" i="5"/>
  <c r="A195" i="5"/>
  <c r="F194" i="5"/>
  <c r="E194" i="5"/>
  <c r="D194" i="5"/>
  <c r="C194" i="5"/>
  <c r="B194" i="5"/>
  <c r="A194" i="5"/>
  <c r="F193" i="5"/>
  <c r="E193" i="5"/>
  <c r="D193" i="5"/>
  <c r="C193" i="5"/>
  <c r="B193" i="5"/>
  <c r="A193" i="5"/>
  <c r="F192" i="5"/>
  <c r="E192" i="5"/>
  <c r="D192" i="5"/>
  <c r="C192" i="5"/>
  <c r="B192" i="5"/>
  <c r="A192" i="5"/>
  <c r="F191" i="5"/>
  <c r="E191" i="5"/>
  <c r="D191" i="5"/>
  <c r="C191" i="5"/>
  <c r="B191" i="5"/>
  <c r="A191" i="5"/>
  <c r="F190" i="5"/>
  <c r="E190" i="5"/>
  <c r="D190" i="5"/>
  <c r="C190" i="5"/>
  <c r="B190" i="5"/>
  <c r="A190" i="5"/>
  <c r="F189" i="5"/>
  <c r="E189" i="5"/>
  <c r="D189" i="5"/>
  <c r="C189" i="5"/>
  <c r="B189" i="5"/>
  <c r="A189" i="5"/>
  <c r="F188" i="5"/>
  <c r="E188" i="5"/>
  <c r="D188" i="5"/>
  <c r="C188" i="5"/>
  <c r="B188" i="5"/>
  <c r="A188" i="5"/>
  <c r="F187" i="5"/>
  <c r="E187" i="5"/>
  <c r="D187" i="5"/>
  <c r="C187" i="5"/>
  <c r="B187" i="5"/>
  <c r="A187" i="5"/>
  <c r="F186" i="5"/>
  <c r="E186" i="5"/>
  <c r="D186" i="5"/>
  <c r="C186" i="5"/>
  <c r="B186" i="5"/>
  <c r="A186" i="5"/>
  <c r="F185" i="5"/>
  <c r="E185" i="5"/>
  <c r="D185" i="5"/>
  <c r="C185" i="5"/>
  <c r="B185" i="5"/>
  <c r="A185" i="5"/>
  <c r="F184" i="5"/>
  <c r="E184" i="5"/>
  <c r="D184" i="5"/>
  <c r="C184" i="5"/>
  <c r="B184" i="5"/>
  <c r="A184" i="5"/>
  <c r="F183" i="5"/>
  <c r="E183" i="5"/>
  <c r="D183" i="5"/>
  <c r="C183" i="5"/>
  <c r="B183" i="5"/>
  <c r="A183" i="5"/>
  <c r="F182" i="5"/>
  <c r="E182" i="5"/>
  <c r="D182" i="5"/>
  <c r="C182" i="5"/>
  <c r="B182" i="5"/>
  <c r="A182" i="5"/>
  <c r="F181" i="5"/>
  <c r="E181" i="5"/>
  <c r="D181" i="5"/>
  <c r="C181" i="5"/>
  <c r="B181" i="5"/>
  <c r="A181" i="5"/>
  <c r="F180" i="5"/>
  <c r="E180" i="5"/>
  <c r="D180" i="5"/>
  <c r="C180" i="5"/>
  <c r="B180" i="5"/>
  <c r="A180" i="5"/>
  <c r="F179" i="5"/>
  <c r="E179" i="5"/>
  <c r="D179" i="5"/>
  <c r="C179" i="5"/>
  <c r="B179" i="5"/>
  <c r="A179" i="5"/>
  <c r="F178" i="5"/>
  <c r="E178" i="5"/>
  <c r="D178" i="5"/>
  <c r="C178" i="5"/>
  <c r="B178" i="5"/>
  <c r="A178" i="5"/>
  <c r="F177" i="5"/>
  <c r="E177" i="5"/>
  <c r="D177" i="5"/>
  <c r="C177" i="5"/>
  <c r="B177" i="5"/>
  <c r="A177" i="5"/>
  <c r="F176" i="5"/>
  <c r="E176" i="5"/>
  <c r="D176" i="5"/>
  <c r="C176" i="5"/>
  <c r="B176" i="5"/>
  <c r="A176" i="5"/>
  <c r="F175" i="5"/>
  <c r="E175" i="5"/>
  <c r="D175" i="5"/>
  <c r="C175" i="5"/>
  <c r="B175" i="5"/>
  <c r="A175" i="5"/>
  <c r="F174" i="5"/>
  <c r="E174" i="5"/>
  <c r="D174" i="5"/>
  <c r="C174" i="5"/>
  <c r="B174" i="5"/>
  <c r="A174" i="5"/>
  <c r="F173" i="5"/>
  <c r="E173" i="5"/>
  <c r="D173" i="5"/>
  <c r="C173" i="5"/>
  <c r="B173" i="5"/>
  <c r="A173" i="5"/>
  <c r="F172" i="5"/>
  <c r="E172" i="5"/>
  <c r="D172" i="5"/>
  <c r="C172" i="5"/>
  <c r="B172" i="5"/>
  <c r="A172" i="5"/>
  <c r="F171" i="5"/>
  <c r="E171" i="5"/>
  <c r="D171" i="5"/>
  <c r="C171" i="5"/>
  <c r="B171" i="5"/>
  <c r="A171" i="5"/>
  <c r="I170" i="5"/>
  <c r="F170" i="5"/>
  <c r="E170" i="5"/>
  <c r="D170" i="5"/>
  <c r="C170" i="5"/>
  <c r="G170" i="5" s="1"/>
  <c r="H170" i="5" s="1"/>
  <c r="B170" i="5"/>
  <c r="A170" i="5"/>
  <c r="F169" i="5"/>
  <c r="E169" i="5"/>
  <c r="D169" i="5"/>
  <c r="C169" i="5"/>
  <c r="B169" i="5"/>
  <c r="A169" i="5"/>
  <c r="F168" i="5"/>
  <c r="E168" i="5"/>
  <c r="D168" i="5"/>
  <c r="C168" i="5"/>
  <c r="B168" i="5"/>
  <c r="A168" i="5"/>
  <c r="F167" i="5"/>
  <c r="E167" i="5"/>
  <c r="D167" i="5"/>
  <c r="C167" i="5"/>
  <c r="B167" i="5"/>
  <c r="A167" i="5"/>
  <c r="F166" i="5"/>
  <c r="E166" i="5"/>
  <c r="D166" i="5"/>
  <c r="C166" i="5"/>
  <c r="B166" i="5"/>
  <c r="A166" i="5"/>
  <c r="F165" i="5"/>
  <c r="E165" i="5"/>
  <c r="D165" i="5"/>
  <c r="C165" i="5"/>
  <c r="B165" i="5"/>
  <c r="A165" i="5"/>
  <c r="F164" i="5"/>
  <c r="E164" i="5"/>
  <c r="D164" i="5"/>
  <c r="C164" i="5"/>
  <c r="B164" i="5"/>
  <c r="A164" i="5"/>
  <c r="F163" i="5"/>
  <c r="E163" i="5"/>
  <c r="D163" i="5"/>
  <c r="C163" i="5"/>
  <c r="B163" i="5"/>
  <c r="A163" i="5"/>
  <c r="F162" i="5"/>
  <c r="E162" i="5"/>
  <c r="D162" i="5"/>
  <c r="C162" i="5"/>
  <c r="B162" i="5"/>
  <c r="A162" i="5"/>
  <c r="F161" i="5"/>
  <c r="E161" i="5"/>
  <c r="D161" i="5"/>
  <c r="C161" i="5"/>
  <c r="B161" i="5"/>
  <c r="A161" i="5"/>
  <c r="F160" i="5"/>
  <c r="E160" i="5"/>
  <c r="D160" i="5"/>
  <c r="C160" i="5"/>
  <c r="B160" i="5"/>
  <c r="A160" i="5"/>
  <c r="F159" i="5"/>
  <c r="E159" i="5"/>
  <c r="D159" i="5"/>
  <c r="C159" i="5"/>
  <c r="B159" i="5"/>
  <c r="A159" i="5"/>
  <c r="F158" i="5"/>
  <c r="E158" i="5"/>
  <c r="D158" i="5"/>
  <c r="C158" i="5"/>
  <c r="B158" i="5"/>
  <c r="A158" i="5"/>
  <c r="F157" i="5"/>
  <c r="E157" i="5"/>
  <c r="D157" i="5"/>
  <c r="C157" i="5"/>
  <c r="B157" i="5"/>
  <c r="A157" i="5"/>
  <c r="F156" i="5"/>
  <c r="E156" i="5"/>
  <c r="D156" i="5"/>
  <c r="C156" i="5"/>
  <c r="B156" i="5"/>
  <c r="A156" i="5"/>
  <c r="F155" i="5"/>
  <c r="E155" i="5"/>
  <c r="D155" i="5"/>
  <c r="C155" i="5"/>
  <c r="B155" i="5"/>
  <c r="A155" i="5"/>
  <c r="F154" i="5"/>
  <c r="E154" i="5"/>
  <c r="D154" i="5"/>
  <c r="C154" i="5"/>
  <c r="B154" i="5"/>
  <c r="A154" i="5"/>
  <c r="F153" i="5"/>
  <c r="E153" i="5"/>
  <c r="D153" i="5"/>
  <c r="C153" i="5"/>
  <c r="B153" i="5"/>
  <c r="A153" i="5"/>
  <c r="F152" i="5"/>
  <c r="E152" i="5"/>
  <c r="D152" i="5"/>
  <c r="C152" i="5"/>
  <c r="B152" i="5"/>
  <c r="A152" i="5"/>
  <c r="F151" i="5"/>
  <c r="E151" i="5"/>
  <c r="D151" i="5"/>
  <c r="C151" i="5"/>
  <c r="B151" i="5"/>
  <c r="A151" i="5"/>
  <c r="F150" i="5"/>
  <c r="E150" i="5"/>
  <c r="D150" i="5"/>
  <c r="C150" i="5"/>
  <c r="B150" i="5"/>
  <c r="A150" i="5"/>
  <c r="F149" i="5"/>
  <c r="E149" i="5"/>
  <c r="D149" i="5"/>
  <c r="C149" i="5"/>
  <c r="B149" i="5"/>
  <c r="A149" i="5"/>
  <c r="F148" i="5"/>
  <c r="E148" i="5"/>
  <c r="D148" i="5"/>
  <c r="C148" i="5"/>
  <c r="B148" i="5"/>
  <c r="A148" i="5"/>
  <c r="F147" i="5"/>
  <c r="E147" i="5"/>
  <c r="D147" i="5"/>
  <c r="C147" i="5"/>
  <c r="B147" i="5"/>
  <c r="A147" i="5"/>
  <c r="F146" i="5"/>
  <c r="E146" i="5"/>
  <c r="D146" i="5"/>
  <c r="C146" i="5"/>
  <c r="B146" i="5"/>
  <c r="A146" i="5"/>
  <c r="F145" i="5"/>
  <c r="E145" i="5"/>
  <c r="D145" i="5"/>
  <c r="C145" i="5"/>
  <c r="B145" i="5"/>
  <c r="A145" i="5"/>
  <c r="F144" i="5"/>
  <c r="E144" i="5"/>
  <c r="D144" i="5"/>
  <c r="C144" i="5"/>
  <c r="B144" i="5"/>
  <c r="A144" i="5"/>
  <c r="F143" i="5"/>
  <c r="E143" i="5"/>
  <c r="D143" i="5"/>
  <c r="C143" i="5"/>
  <c r="B143" i="5"/>
  <c r="A143" i="5"/>
  <c r="F142" i="5"/>
  <c r="E142" i="5"/>
  <c r="D142" i="5"/>
  <c r="C142" i="5"/>
  <c r="B142" i="5"/>
  <c r="A142" i="5"/>
  <c r="F141" i="5"/>
  <c r="E141" i="5"/>
  <c r="D141" i="5"/>
  <c r="C141" i="5"/>
  <c r="B141" i="5"/>
  <c r="A141" i="5"/>
  <c r="F140" i="5"/>
  <c r="E140" i="5"/>
  <c r="D140" i="5"/>
  <c r="C140" i="5"/>
  <c r="B140" i="5"/>
  <c r="A140" i="5"/>
  <c r="F139" i="5"/>
  <c r="E139" i="5"/>
  <c r="D139" i="5"/>
  <c r="C139" i="5"/>
  <c r="B139" i="5"/>
  <c r="A139" i="5"/>
  <c r="F138" i="5"/>
  <c r="E138" i="5"/>
  <c r="D138" i="5"/>
  <c r="C138" i="5"/>
  <c r="B138" i="5"/>
  <c r="A138" i="5"/>
  <c r="F137" i="5"/>
  <c r="E137" i="5"/>
  <c r="D137" i="5"/>
  <c r="C137" i="5"/>
  <c r="B137" i="5"/>
  <c r="A137" i="5"/>
  <c r="F136" i="5"/>
  <c r="E136" i="5"/>
  <c r="D136" i="5"/>
  <c r="C136" i="5"/>
  <c r="B136" i="5"/>
  <c r="A136" i="5"/>
  <c r="F135" i="5"/>
  <c r="E135" i="5"/>
  <c r="D135" i="5"/>
  <c r="C135" i="5"/>
  <c r="B135" i="5"/>
  <c r="A135" i="5"/>
  <c r="F134" i="5"/>
  <c r="E134" i="5"/>
  <c r="D134" i="5"/>
  <c r="C134" i="5"/>
  <c r="B134" i="5"/>
  <c r="A134" i="5"/>
  <c r="F133" i="5"/>
  <c r="E133" i="5"/>
  <c r="D133" i="5"/>
  <c r="C133" i="5"/>
  <c r="B133" i="5"/>
  <c r="A133" i="5"/>
  <c r="F132" i="5"/>
  <c r="E132" i="5"/>
  <c r="D132" i="5"/>
  <c r="C132" i="5"/>
  <c r="B132" i="5"/>
  <c r="A132" i="5"/>
  <c r="F131" i="5"/>
  <c r="E131" i="5"/>
  <c r="D131" i="5"/>
  <c r="C131" i="5"/>
  <c r="B131" i="5"/>
  <c r="A131" i="5"/>
  <c r="F130" i="5"/>
  <c r="E130" i="5"/>
  <c r="D130" i="5"/>
  <c r="C130" i="5"/>
  <c r="B130" i="5"/>
  <c r="A130" i="5"/>
  <c r="F129" i="5"/>
  <c r="E129" i="5"/>
  <c r="D129" i="5"/>
  <c r="C129" i="5"/>
  <c r="B129" i="5"/>
  <c r="A129" i="5"/>
  <c r="F128" i="5"/>
  <c r="E128" i="5"/>
  <c r="D128" i="5"/>
  <c r="C128" i="5"/>
  <c r="B128" i="5"/>
  <c r="A128" i="5"/>
  <c r="F127" i="5"/>
  <c r="E127" i="5"/>
  <c r="D127" i="5"/>
  <c r="C127" i="5"/>
  <c r="B127" i="5"/>
  <c r="A127" i="5"/>
  <c r="F126" i="5"/>
  <c r="E126" i="5"/>
  <c r="D126" i="5"/>
  <c r="C126" i="5"/>
  <c r="B126" i="5"/>
  <c r="A126" i="5"/>
  <c r="F125" i="5"/>
  <c r="E125" i="5"/>
  <c r="D125" i="5"/>
  <c r="C125" i="5"/>
  <c r="B125" i="5"/>
  <c r="A125" i="5"/>
  <c r="F124" i="5"/>
  <c r="E124" i="5"/>
  <c r="D124" i="5"/>
  <c r="C124" i="5"/>
  <c r="B124" i="5"/>
  <c r="A124" i="5"/>
  <c r="F123" i="5"/>
  <c r="E123" i="5"/>
  <c r="D123" i="5"/>
  <c r="C123" i="5"/>
  <c r="B123" i="5"/>
  <c r="A123" i="5"/>
  <c r="F122" i="5"/>
  <c r="E122" i="5"/>
  <c r="D122" i="5"/>
  <c r="C122" i="5"/>
  <c r="B122" i="5"/>
  <c r="A122" i="5"/>
  <c r="F121" i="5"/>
  <c r="E121" i="5"/>
  <c r="D121" i="5"/>
  <c r="C121" i="5"/>
  <c r="B121" i="5"/>
  <c r="A121" i="5"/>
  <c r="F120" i="5"/>
  <c r="E120" i="5"/>
  <c r="D120" i="5"/>
  <c r="C120" i="5"/>
  <c r="B120" i="5"/>
  <c r="A120" i="5"/>
  <c r="F119" i="5"/>
  <c r="E119" i="5"/>
  <c r="D119" i="5"/>
  <c r="C119" i="5"/>
  <c r="B119" i="5"/>
  <c r="A119" i="5"/>
  <c r="F118" i="5"/>
  <c r="E118" i="5"/>
  <c r="D118" i="5"/>
  <c r="C118" i="5"/>
  <c r="B118" i="5"/>
  <c r="A118" i="5"/>
  <c r="F117" i="5"/>
  <c r="E117" i="5"/>
  <c r="D117" i="5"/>
  <c r="C117" i="5"/>
  <c r="B117" i="5"/>
  <c r="A117" i="5"/>
  <c r="F116" i="5"/>
  <c r="E116" i="5"/>
  <c r="D116" i="5"/>
  <c r="C116" i="5"/>
  <c r="B116" i="5"/>
  <c r="A116" i="5"/>
  <c r="F115" i="5"/>
  <c r="E115" i="5"/>
  <c r="D115" i="5"/>
  <c r="C115" i="5"/>
  <c r="B115" i="5"/>
  <c r="A115" i="5"/>
  <c r="F114" i="5"/>
  <c r="E114" i="5"/>
  <c r="D114" i="5"/>
  <c r="C114" i="5"/>
  <c r="B114" i="5"/>
  <c r="A114" i="5"/>
  <c r="F113" i="5"/>
  <c r="E113" i="5"/>
  <c r="D113" i="5"/>
  <c r="C113" i="5"/>
  <c r="B113" i="5"/>
  <c r="A113" i="5"/>
  <c r="F112" i="5"/>
  <c r="E112" i="5"/>
  <c r="D112" i="5"/>
  <c r="C112" i="5"/>
  <c r="B112" i="5"/>
  <c r="A112" i="5"/>
  <c r="F111" i="5"/>
  <c r="E111" i="5"/>
  <c r="D111" i="5"/>
  <c r="C111" i="5"/>
  <c r="B111" i="5"/>
  <c r="A111" i="5"/>
  <c r="F110" i="5"/>
  <c r="E110" i="5"/>
  <c r="D110" i="5"/>
  <c r="C110" i="5"/>
  <c r="B110" i="5"/>
  <c r="A110" i="5"/>
  <c r="F109" i="5"/>
  <c r="E109" i="5"/>
  <c r="D109" i="5"/>
  <c r="C109" i="5"/>
  <c r="B109" i="5"/>
  <c r="A109" i="5"/>
  <c r="F108" i="5"/>
  <c r="E108" i="5"/>
  <c r="D108" i="5"/>
  <c r="C108" i="5"/>
  <c r="B108" i="5"/>
  <c r="A108" i="5"/>
  <c r="F107" i="5"/>
  <c r="E107" i="5"/>
  <c r="D107" i="5"/>
  <c r="C107" i="5"/>
  <c r="B107" i="5"/>
  <c r="A107" i="5"/>
  <c r="F106" i="5"/>
  <c r="E106" i="5"/>
  <c r="D106" i="5"/>
  <c r="C106" i="5"/>
  <c r="B106" i="5"/>
  <c r="A106" i="5"/>
  <c r="F105" i="5"/>
  <c r="E105" i="5"/>
  <c r="D105" i="5"/>
  <c r="C105" i="5"/>
  <c r="B105" i="5"/>
  <c r="A105" i="5"/>
  <c r="F104" i="5"/>
  <c r="E104" i="5"/>
  <c r="D104" i="5"/>
  <c r="C104" i="5"/>
  <c r="B104" i="5"/>
  <c r="A104" i="5"/>
  <c r="F103" i="5"/>
  <c r="E103" i="5"/>
  <c r="D103" i="5"/>
  <c r="C103" i="5"/>
  <c r="B103" i="5"/>
  <c r="A103" i="5"/>
  <c r="F102" i="5"/>
  <c r="E102" i="5"/>
  <c r="D102" i="5"/>
  <c r="C102" i="5"/>
  <c r="B102" i="5"/>
  <c r="A102" i="5"/>
  <c r="F101" i="5"/>
  <c r="E101" i="5"/>
  <c r="D101" i="5"/>
  <c r="C101" i="5"/>
  <c r="B101" i="5"/>
  <c r="A101" i="5"/>
  <c r="F100" i="5"/>
  <c r="E100" i="5"/>
  <c r="D100" i="5"/>
  <c r="C100" i="5"/>
  <c r="B100" i="5"/>
  <c r="A100" i="5"/>
  <c r="F99" i="5"/>
  <c r="E99" i="5"/>
  <c r="D99" i="5"/>
  <c r="C99" i="5"/>
  <c r="B99" i="5"/>
  <c r="A99" i="5"/>
  <c r="F98" i="5"/>
  <c r="E98" i="5"/>
  <c r="D98" i="5"/>
  <c r="C98" i="5"/>
  <c r="B98" i="5"/>
  <c r="A98" i="5"/>
  <c r="F97" i="5"/>
  <c r="E97" i="5"/>
  <c r="D97" i="5"/>
  <c r="C97" i="5"/>
  <c r="B97" i="5"/>
  <c r="A97" i="5"/>
  <c r="F96" i="5"/>
  <c r="E96" i="5"/>
  <c r="D96" i="5"/>
  <c r="C96" i="5"/>
  <c r="B96" i="5"/>
  <c r="A96" i="5"/>
  <c r="F95" i="5"/>
  <c r="E95" i="5"/>
  <c r="D95" i="5"/>
  <c r="C95" i="5"/>
  <c r="B95" i="5"/>
  <c r="A95" i="5"/>
  <c r="F94" i="5"/>
  <c r="E94" i="5"/>
  <c r="D94" i="5"/>
  <c r="C94" i="5"/>
  <c r="B94" i="5"/>
  <c r="A94" i="5"/>
  <c r="F93" i="5"/>
  <c r="E93" i="5"/>
  <c r="D93" i="5"/>
  <c r="C93" i="5"/>
  <c r="B93" i="5"/>
  <c r="A93" i="5"/>
  <c r="F92" i="5"/>
  <c r="E92" i="5"/>
  <c r="D92" i="5"/>
  <c r="C92" i="5"/>
  <c r="B92" i="5"/>
  <c r="A92" i="5"/>
  <c r="F91" i="5"/>
  <c r="E91" i="5"/>
  <c r="D91" i="5"/>
  <c r="C91" i="5"/>
  <c r="B91" i="5"/>
  <c r="A91" i="5"/>
  <c r="F90" i="5"/>
  <c r="E90" i="5"/>
  <c r="D90" i="5"/>
  <c r="C90" i="5"/>
  <c r="B90" i="5"/>
  <c r="A90" i="5"/>
  <c r="F89" i="5"/>
  <c r="E89" i="5"/>
  <c r="D89" i="5"/>
  <c r="C89" i="5"/>
  <c r="B89" i="5"/>
  <c r="A89" i="5"/>
  <c r="F88" i="5"/>
  <c r="E88" i="5"/>
  <c r="D88" i="5"/>
  <c r="C88" i="5"/>
  <c r="B88" i="5"/>
  <c r="A88" i="5"/>
  <c r="F87" i="5"/>
  <c r="E87" i="5"/>
  <c r="D87" i="5"/>
  <c r="C87" i="5"/>
  <c r="B87" i="5"/>
  <c r="A87" i="5"/>
  <c r="F86" i="5"/>
  <c r="E86" i="5"/>
  <c r="D86" i="5"/>
  <c r="C86" i="5"/>
  <c r="B86" i="5"/>
  <c r="A86" i="5"/>
  <c r="F85" i="5"/>
  <c r="E85" i="5"/>
  <c r="D85" i="5"/>
  <c r="C85" i="5"/>
  <c r="B85" i="5"/>
  <c r="A85" i="5"/>
  <c r="F84" i="5"/>
  <c r="E84" i="5"/>
  <c r="D84" i="5"/>
  <c r="C84" i="5"/>
  <c r="B84" i="5"/>
  <c r="A84" i="5"/>
  <c r="F83" i="5"/>
  <c r="E83" i="5"/>
  <c r="D83" i="5"/>
  <c r="C83" i="5"/>
  <c r="B83" i="5"/>
  <c r="A83" i="5"/>
  <c r="F82" i="5"/>
  <c r="E82" i="5"/>
  <c r="D82" i="5"/>
  <c r="C82" i="5"/>
  <c r="B82" i="5"/>
  <c r="A82" i="5"/>
  <c r="F81" i="5"/>
  <c r="E81" i="5"/>
  <c r="D81" i="5"/>
  <c r="C81" i="5"/>
  <c r="B81" i="5"/>
  <c r="A81" i="5"/>
  <c r="F80" i="5"/>
  <c r="E80" i="5"/>
  <c r="D80" i="5"/>
  <c r="C80" i="5"/>
  <c r="B80" i="5"/>
  <c r="A80" i="5"/>
  <c r="F79" i="5"/>
  <c r="E79" i="5"/>
  <c r="D79" i="5"/>
  <c r="C79" i="5"/>
  <c r="B79" i="5"/>
  <c r="A79" i="5"/>
  <c r="F78" i="5"/>
  <c r="E78" i="5"/>
  <c r="D78" i="5"/>
  <c r="C78" i="5"/>
  <c r="B78" i="5"/>
  <c r="A78" i="5"/>
  <c r="F77" i="5"/>
  <c r="E77" i="5"/>
  <c r="D77" i="5"/>
  <c r="C77" i="5"/>
  <c r="B77" i="5"/>
  <c r="A77" i="5"/>
  <c r="F76" i="5"/>
  <c r="E76" i="5"/>
  <c r="D76" i="5"/>
  <c r="C76" i="5"/>
  <c r="B76" i="5"/>
  <c r="A76" i="5"/>
  <c r="F75" i="5"/>
  <c r="E75" i="5"/>
  <c r="D75" i="5"/>
  <c r="C75" i="5"/>
  <c r="B75" i="5"/>
  <c r="A75" i="5"/>
  <c r="F74" i="5"/>
  <c r="E74" i="5"/>
  <c r="D74" i="5"/>
  <c r="C74" i="5"/>
  <c r="B74" i="5"/>
  <c r="A74" i="5"/>
  <c r="F73" i="5"/>
  <c r="E73" i="5"/>
  <c r="D73" i="5"/>
  <c r="C73" i="5"/>
  <c r="B73" i="5"/>
  <c r="A73" i="5"/>
  <c r="F72" i="5"/>
  <c r="E72" i="5"/>
  <c r="D72" i="5"/>
  <c r="C72" i="5"/>
  <c r="B72" i="5"/>
  <c r="A72" i="5"/>
  <c r="F71" i="5"/>
  <c r="E71" i="5"/>
  <c r="D71" i="5"/>
  <c r="C71" i="5"/>
  <c r="B71" i="5"/>
  <c r="A71" i="5"/>
  <c r="F70" i="5"/>
  <c r="E70" i="5"/>
  <c r="D70" i="5"/>
  <c r="C70" i="5"/>
  <c r="B70" i="5"/>
  <c r="A70" i="5"/>
  <c r="F69" i="5"/>
  <c r="E69" i="5"/>
  <c r="D69" i="5"/>
  <c r="C69" i="5"/>
  <c r="B69" i="5"/>
  <c r="A69" i="5"/>
  <c r="F68" i="5"/>
  <c r="E68" i="5"/>
  <c r="D68" i="5"/>
  <c r="C68" i="5"/>
  <c r="B68" i="5"/>
  <c r="A68" i="5"/>
  <c r="F67" i="5"/>
  <c r="E67" i="5"/>
  <c r="D67" i="5"/>
  <c r="C67" i="5"/>
  <c r="B67" i="5"/>
  <c r="A67" i="5"/>
  <c r="F66" i="5"/>
  <c r="E66" i="5"/>
  <c r="D66" i="5"/>
  <c r="C66" i="5"/>
  <c r="B66" i="5"/>
  <c r="A66" i="5"/>
  <c r="F65" i="5"/>
  <c r="E65" i="5"/>
  <c r="D65" i="5"/>
  <c r="C65" i="5"/>
  <c r="B65" i="5"/>
  <c r="A65" i="5"/>
  <c r="F64" i="5"/>
  <c r="E64" i="5"/>
  <c r="D64" i="5"/>
  <c r="C64" i="5"/>
  <c r="B64" i="5"/>
  <c r="A64" i="5"/>
  <c r="F63" i="5"/>
  <c r="E63" i="5"/>
  <c r="D63" i="5"/>
  <c r="C63" i="5"/>
  <c r="B63" i="5"/>
  <c r="A63" i="5"/>
  <c r="F62" i="5"/>
  <c r="E62" i="5"/>
  <c r="D62" i="5"/>
  <c r="C62" i="5"/>
  <c r="B62" i="5"/>
  <c r="A62" i="5"/>
  <c r="F61" i="5"/>
  <c r="E61" i="5"/>
  <c r="D61" i="5"/>
  <c r="C61" i="5"/>
  <c r="B61" i="5"/>
  <c r="A61" i="5"/>
  <c r="F60" i="5"/>
  <c r="E60" i="5"/>
  <c r="D60" i="5"/>
  <c r="C60" i="5"/>
  <c r="B60" i="5"/>
  <c r="A60" i="5"/>
  <c r="F59" i="5"/>
  <c r="E59" i="5"/>
  <c r="D59" i="5"/>
  <c r="C59" i="5"/>
  <c r="B59" i="5"/>
  <c r="A59" i="5"/>
  <c r="F58" i="5"/>
  <c r="E58" i="5"/>
  <c r="D58" i="5"/>
  <c r="C58" i="5"/>
  <c r="B58" i="5"/>
  <c r="A58" i="5"/>
  <c r="F57" i="5"/>
  <c r="E57" i="5"/>
  <c r="D57" i="5"/>
  <c r="C57" i="5"/>
  <c r="B57" i="5"/>
  <c r="A57" i="5"/>
  <c r="F56" i="5"/>
  <c r="E56" i="5"/>
  <c r="D56" i="5"/>
  <c r="C56" i="5"/>
  <c r="B56" i="5"/>
  <c r="A56" i="5"/>
  <c r="F55" i="5"/>
  <c r="E55" i="5"/>
  <c r="D55" i="5"/>
  <c r="C55" i="5"/>
  <c r="B55" i="5"/>
  <c r="A55" i="5"/>
  <c r="F54" i="5"/>
  <c r="E54" i="5"/>
  <c r="D54" i="5"/>
  <c r="C54" i="5"/>
  <c r="B54" i="5"/>
  <c r="A54" i="5"/>
  <c r="F53" i="5"/>
  <c r="E53" i="5"/>
  <c r="D53" i="5"/>
  <c r="C53" i="5"/>
  <c r="B53" i="5"/>
  <c r="A53" i="5"/>
  <c r="F52" i="5"/>
  <c r="E52" i="5"/>
  <c r="D52" i="5"/>
  <c r="C52" i="5"/>
  <c r="B52" i="5"/>
  <c r="A52" i="5"/>
  <c r="F51" i="5"/>
  <c r="E51" i="5"/>
  <c r="D51" i="5"/>
  <c r="C51" i="5"/>
  <c r="B51" i="5"/>
  <c r="A51" i="5"/>
  <c r="F50" i="5"/>
  <c r="E50" i="5"/>
  <c r="D50" i="5"/>
  <c r="C50" i="5"/>
  <c r="B50" i="5"/>
  <c r="A50" i="5"/>
  <c r="F49" i="5"/>
  <c r="E49" i="5"/>
  <c r="D49" i="5"/>
  <c r="C49" i="5"/>
  <c r="B49" i="5"/>
  <c r="A49" i="5"/>
  <c r="F48" i="5"/>
  <c r="E48" i="5"/>
  <c r="D48" i="5"/>
  <c r="C48" i="5"/>
  <c r="B48" i="5"/>
  <c r="A48" i="5"/>
  <c r="F47" i="5"/>
  <c r="E47" i="5"/>
  <c r="D47" i="5"/>
  <c r="C47" i="5"/>
  <c r="B47" i="5"/>
  <c r="A47" i="5"/>
  <c r="F46" i="5"/>
  <c r="E46" i="5"/>
  <c r="D46" i="5"/>
  <c r="C46" i="5"/>
  <c r="B46" i="5"/>
  <c r="A46" i="5"/>
  <c r="F45" i="5"/>
  <c r="E45" i="5"/>
  <c r="D45" i="5"/>
  <c r="C45" i="5"/>
  <c r="B45" i="5"/>
  <c r="A45" i="5"/>
  <c r="F44" i="5"/>
  <c r="E44" i="5"/>
  <c r="D44" i="5"/>
  <c r="C44" i="5"/>
  <c r="B44" i="5"/>
  <c r="A44" i="5"/>
  <c r="F43" i="5"/>
  <c r="E43" i="5"/>
  <c r="D43" i="5"/>
  <c r="C43" i="5"/>
  <c r="B43" i="5"/>
  <c r="A43" i="5"/>
  <c r="F42" i="5"/>
  <c r="E42" i="5"/>
  <c r="D42" i="5"/>
  <c r="C42" i="5"/>
  <c r="B42" i="5"/>
  <c r="A42" i="5"/>
  <c r="F41" i="5"/>
  <c r="E41" i="5"/>
  <c r="D41" i="5"/>
  <c r="C41" i="5"/>
  <c r="B41" i="5"/>
  <c r="A41" i="5"/>
  <c r="F40" i="5"/>
  <c r="E40" i="5"/>
  <c r="D40" i="5"/>
  <c r="C40" i="5"/>
  <c r="B40" i="5"/>
  <c r="A40" i="5"/>
  <c r="F39" i="5"/>
  <c r="E39" i="5"/>
  <c r="D39" i="5"/>
  <c r="C39" i="5"/>
  <c r="B39" i="5"/>
  <c r="A39" i="5"/>
  <c r="F38" i="5"/>
  <c r="E38" i="5"/>
  <c r="D38" i="5"/>
  <c r="C38" i="5"/>
  <c r="B38" i="5"/>
  <c r="A38" i="5"/>
  <c r="F37" i="5"/>
  <c r="E37" i="5"/>
  <c r="D37" i="5"/>
  <c r="C37" i="5"/>
  <c r="B37" i="5"/>
  <c r="A37" i="5"/>
  <c r="F36" i="5"/>
  <c r="E36" i="5"/>
  <c r="D36" i="5"/>
  <c r="C36" i="5"/>
  <c r="B36" i="5"/>
  <c r="A36" i="5"/>
  <c r="F35" i="5"/>
  <c r="E35" i="5"/>
  <c r="D35" i="5"/>
  <c r="C35" i="5"/>
  <c r="B35" i="5"/>
  <c r="A35" i="5"/>
  <c r="F34" i="5"/>
  <c r="E34" i="5"/>
  <c r="D34" i="5"/>
  <c r="C34" i="5"/>
  <c r="B34" i="5"/>
  <c r="A34" i="5"/>
  <c r="F33" i="5"/>
  <c r="E33" i="5"/>
  <c r="D33" i="5"/>
  <c r="C33" i="5"/>
  <c r="B33" i="5"/>
  <c r="A33" i="5"/>
  <c r="F32" i="5"/>
  <c r="E32" i="5"/>
  <c r="D32" i="5"/>
  <c r="C32" i="5"/>
  <c r="B32" i="5"/>
  <c r="A32" i="5"/>
  <c r="F31" i="5"/>
  <c r="E31" i="5"/>
  <c r="D31" i="5"/>
  <c r="C31" i="5"/>
  <c r="B31" i="5"/>
  <c r="A31" i="5"/>
  <c r="F30" i="5"/>
  <c r="E30" i="5"/>
  <c r="D30" i="5"/>
  <c r="C30" i="5"/>
  <c r="B30" i="5"/>
  <c r="A30" i="5"/>
  <c r="F29" i="5"/>
  <c r="E29" i="5"/>
  <c r="D29" i="5"/>
  <c r="C29" i="5"/>
  <c r="B29" i="5"/>
  <c r="A29" i="5"/>
  <c r="F28" i="5"/>
  <c r="E28" i="5"/>
  <c r="D28" i="5"/>
  <c r="C28" i="5"/>
  <c r="B28" i="5"/>
  <c r="A28" i="5"/>
  <c r="F27" i="5"/>
  <c r="E27" i="5"/>
  <c r="D27" i="5"/>
  <c r="C27" i="5"/>
  <c r="B27" i="5"/>
  <c r="A27" i="5"/>
  <c r="F26" i="5"/>
  <c r="E26" i="5"/>
  <c r="D26" i="5"/>
  <c r="C26" i="5"/>
  <c r="B26" i="5"/>
  <c r="A26" i="5"/>
  <c r="F25" i="5"/>
  <c r="E25" i="5"/>
  <c r="D25" i="5"/>
  <c r="C25" i="5"/>
  <c r="B25" i="5"/>
  <c r="A25" i="5"/>
  <c r="F24" i="5"/>
  <c r="E24" i="5"/>
  <c r="D24" i="5"/>
  <c r="C24" i="5"/>
  <c r="B24" i="5"/>
  <c r="A24" i="5"/>
  <c r="F23" i="5"/>
  <c r="E23" i="5"/>
  <c r="D23" i="5"/>
  <c r="C23" i="5"/>
  <c r="B23" i="5"/>
  <c r="A23" i="5"/>
  <c r="F22" i="5"/>
  <c r="E22" i="5"/>
  <c r="D22" i="5"/>
  <c r="C22" i="5"/>
  <c r="B22" i="5"/>
  <c r="A22" i="5"/>
  <c r="F21" i="5"/>
  <c r="E21" i="5"/>
  <c r="D21" i="5"/>
  <c r="C21" i="5"/>
  <c r="B21" i="5"/>
  <c r="A21" i="5"/>
  <c r="F20" i="5"/>
  <c r="E20" i="5"/>
  <c r="D20" i="5"/>
  <c r="C20" i="5"/>
  <c r="B20" i="5"/>
  <c r="A20" i="5"/>
  <c r="F19" i="5"/>
  <c r="E19" i="5"/>
  <c r="D19" i="5"/>
  <c r="C19" i="5"/>
  <c r="B19" i="5"/>
  <c r="A19" i="5"/>
  <c r="F18" i="5"/>
  <c r="E18" i="5"/>
  <c r="D18" i="5"/>
  <c r="C18" i="5"/>
  <c r="B18" i="5"/>
  <c r="A18" i="5"/>
  <c r="F17" i="5"/>
  <c r="E17" i="5"/>
  <c r="D17" i="5"/>
  <c r="C17" i="5"/>
  <c r="B17" i="5"/>
  <c r="A17" i="5"/>
  <c r="F16" i="5"/>
  <c r="E16" i="5"/>
  <c r="D16" i="5"/>
  <c r="C16" i="5"/>
  <c r="B16" i="5"/>
  <c r="A16" i="5"/>
  <c r="F15" i="5"/>
  <c r="E15" i="5"/>
  <c r="D15" i="5"/>
  <c r="C15" i="5"/>
  <c r="B15" i="5"/>
  <c r="A15" i="5"/>
  <c r="F14" i="5"/>
  <c r="E14" i="5"/>
  <c r="D14" i="5"/>
  <c r="C14" i="5"/>
  <c r="B14" i="5"/>
  <c r="A14" i="5"/>
  <c r="F13" i="5"/>
  <c r="E13" i="5"/>
  <c r="D13" i="5"/>
  <c r="C13" i="5"/>
  <c r="B13" i="5"/>
  <c r="A13" i="5"/>
  <c r="F12" i="5"/>
  <c r="E12" i="5"/>
  <c r="D12" i="5"/>
  <c r="C12" i="5"/>
  <c r="B12" i="5"/>
  <c r="A12" i="5"/>
  <c r="F11" i="5"/>
  <c r="E11" i="5"/>
  <c r="D11" i="5"/>
  <c r="C11" i="5"/>
  <c r="B11" i="5"/>
  <c r="A11" i="5"/>
  <c r="F10" i="5"/>
  <c r="E10" i="5"/>
  <c r="D10" i="5"/>
  <c r="C10" i="5"/>
  <c r="B10" i="5"/>
  <c r="A10" i="5"/>
  <c r="F9" i="5"/>
  <c r="E9" i="5"/>
  <c r="D9" i="5"/>
  <c r="C9" i="5"/>
  <c r="B9" i="5"/>
  <c r="A9" i="5"/>
  <c r="F8" i="5"/>
  <c r="E8" i="5"/>
  <c r="D8" i="5"/>
  <c r="C8" i="5"/>
  <c r="B8" i="5"/>
  <c r="A8" i="5"/>
  <c r="F7" i="5"/>
  <c r="E7" i="5"/>
  <c r="D7" i="5"/>
  <c r="C7" i="5"/>
  <c r="B7" i="5"/>
  <c r="A7" i="5"/>
  <c r="F6" i="5"/>
  <c r="E6" i="5"/>
  <c r="D6" i="5"/>
  <c r="C6" i="5"/>
  <c r="B6" i="5"/>
  <c r="A6" i="5"/>
  <c r="F5" i="5"/>
  <c r="E5" i="5"/>
  <c r="D5" i="5"/>
  <c r="C5" i="5"/>
  <c r="B5" i="5"/>
  <c r="A5" i="5"/>
  <c r="F4" i="5"/>
  <c r="E4" i="5"/>
  <c r="D4" i="5"/>
  <c r="C4" i="5"/>
  <c r="B4" i="5"/>
  <c r="A4" i="5"/>
  <c r="F3" i="5"/>
  <c r="E3" i="5"/>
  <c r="D3" i="5"/>
  <c r="C3" i="5"/>
  <c r="B3" i="5"/>
  <c r="A3" i="5"/>
  <c r="F2" i="5"/>
  <c r="E2" i="5"/>
  <c r="D2" i="5"/>
  <c r="C2" i="5"/>
  <c r="B2" i="5"/>
  <c r="A2" i="5"/>
  <c r="H5" i="4"/>
  <c r="F253" i="7" l="1"/>
  <c r="G253" i="7"/>
  <c r="F252" i="7"/>
  <c r="G252" i="7"/>
  <c r="F251" i="7"/>
  <c r="G251" i="7"/>
  <c r="F250" i="7"/>
  <c r="G250" i="7"/>
  <c r="F249" i="7"/>
  <c r="G249" i="7"/>
  <c r="F248" i="7"/>
  <c r="G248" i="7"/>
  <c r="G247" i="7"/>
  <c r="F247" i="7"/>
  <c r="F246" i="7"/>
  <c r="G246" i="7"/>
  <c r="F245" i="7"/>
  <c r="G245" i="7"/>
  <c r="F244" i="7"/>
  <c r="G244" i="7"/>
  <c r="F243" i="7"/>
  <c r="G243" i="7"/>
  <c r="F242" i="7"/>
  <c r="G242" i="7"/>
  <c r="G241" i="7"/>
  <c r="F241" i="7"/>
  <c r="F240" i="7"/>
  <c r="G240" i="7"/>
  <c r="F239" i="7"/>
  <c r="G239" i="7"/>
  <c r="G238" i="7"/>
  <c r="F238" i="7"/>
  <c r="G237" i="7"/>
  <c r="F237" i="7"/>
  <c r="G236" i="7"/>
  <c r="F236" i="7"/>
  <c r="G235" i="7"/>
  <c r="F235" i="7"/>
  <c r="G234" i="7"/>
  <c r="F234" i="7"/>
  <c r="G233" i="7"/>
  <c r="F233" i="7"/>
  <c r="G232" i="7"/>
  <c r="F232" i="7"/>
  <c r="G231" i="7"/>
  <c r="F231" i="7"/>
  <c r="F230" i="7"/>
  <c r="G230" i="7"/>
  <c r="G229" i="7"/>
  <c r="F229" i="7"/>
  <c r="G228" i="7"/>
  <c r="F228" i="7"/>
  <c r="G227" i="7"/>
  <c r="F227" i="7"/>
  <c r="G226" i="7"/>
  <c r="F226" i="7"/>
  <c r="F225" i="7"/>
  <c r="G225" i="7"/>
  <c r="G224" i="7"/>
  <c r="F224" i="7"/>
  <c r="G223" i="7"/>
  <c r="F223" i="7"/>
  <c r="G222" i="7"/>
  <c r="F222" i="7"/>
  <c r="G221" i="7"/>
  <c r="F221" i="7"/>
  <c r="G220" i="7"/>
  <c r="F220" i="7"/>
  <c r="G219" i="7"/>
  <c r="F219" i="7"/>
  <c r="G218" i="7"/>
  <c r="F218" i="7"/>
  <c r="G217" i="7"/>
  <c r="F217" i="7"/>
  <c r="G216" i="7"/>
  <c r="F216" i="7"/>
  <c r="G215" i="7"/>
  <c r="F215" i="7"/>
  <c r="G214" i="7"/>
  <c r="F214" i="7"/>
  <c r="G213" i="7"/>
  <c r="F213" i="7"/>
  <c r="G212" i="7"/>
  <c r="F212" i="7"/>
  <c r="F211" i="7"/>
  <c r="G211" i="7"/>
  <c r="F210" i="7"/>
  <c r="G210" i="7"/>
  <c r="G209" i="7"/>
  <c r="F209" i="7"/>
  <c r="F208" i="7"/>
  <c r="G208" i="7"/>
  <c r="G207" i="7"/>
  <c r="F207" i="7"/>
  <c r="F206" i="7"/>
  <c r="G206" i="7"/>
  <c r="G205" i="7"/>
  <c r="F205" i="7"/>
  <c r="G204" i="7"/>
  <c r="F204" i="7"/>
  <c r="G203" i="7"/>
  <c r="F203" i="7"/>
  <c r="G202" i="7"/>
  <c r="F202" i="7"/>
  <c r="F201" i="7"/>
  <c r="G201" i="7"/>
  <c r="G200" i="7"/>
  <c r="F200" i="7"/>
  <c r="F199" i="7"/>
  <c r="G199" i="7"/>
  <c r="G198" i="7"/>
  <c r="F198" i="7"/>
  <c r="G197" i="7"/>
  <c r="F197" i="7"/>
  <c r="G196" i="7"/>
  <c r="F196" i="7"/>
  <c r="G195" i="7"/>
  <c r="F195" i="7"/>
  <c r="G194" i="7"/>
  <c r="F194" i="7"/>
  <c r="F193" i="7"/>
  <c r="G193" i="7"/>
  <c r="F192" i="7"/>
  <c r="G192" i="7"/>
  <c r="G191" i="7"/>
  <c r="F191" i="7"/>
  <c r="G190" i="7"/>
  <c r="F190" i="7"/>
  <c r="G189" i="7"/>
  <c r="F189" i="7"/>
  <c r="G188" i="7"/>
  <c r="F188" i="7"/>
  <c r="G187" i="7"/>
  <c r="F187" i="7"/>
  <c r="F186" i="7"/>
  <c r="G186" i="7"/>
  <c r="F185" i="7"/>
  <c r="G185" i="7"/>
  <c r="F183" i="7"/>
  <c r="G183" i="7"/>
  <c r="F182" i="7"/>
  <c r="G182" i="7"/>
  <c r="G181" i="7"/>
  <c r="F181" i="7"/>
  <c r="F180" i="7"/>
  <c r="G180" i="7"/>
  <c r="G179" i="7"/>
  <c r="F179" i="7"/>
  <c r="G178" i="7"/>
  <c r="F178" i="7"/>
  <c r="G177" i="7"/>
  <c r="F177" i="7"/>
  <c r="G176" i="7"/>
  <c r="F176" i="7"/>
  <c r="F175" i="7"/>
  <c r="G175" i="7"/>
  <c r="G174" i="7"/>
  <c r="F174" i="7"/>
  <c r="F173" i="7"/>
  <c r="G173" i="7"/>
  <c r="G172" i="7"/>
  <c r="F172" i="7"/>
  <c r="G171" i="7"/>
  <c r="F171" i="7"/>
  <c r="G170" i="7"/>
  <c r="F170" i="7"/>
  <c r="F169" i="7"/>
  <c r="G169" i="7"/>
  <c r="F168" i="7"/>
  <c r="G168" i="7"/>
  <c r="G167" i="7"/>
  <c r="F167" i="7"/>
  <c r="G166" i="7"/>
  <c r="F166" i="7"/>
  <c r="G165" i="7"/>
  <c r="F165" i="7"/>
  <c r="G164" i="7"/>
  <c r="F164" i="7"/>
  <c r="G163" i="7"/>
  <c r="F163" i="7"/>
  <c r="G162" i="7"/>
  <c r="F162" i="7"/>
  <c r="F161" i="7"/>
  <c r="G161" i="7"/>
  <c r="G160" i="7"/>
  <c r="F160" i="7"/>
  <c r="G159" i="7"/>
  <c r="F159" i="7"/>
  <c r="G158" i="7"/>
  <c r="F158" i="7"/>
  <c r="F157" i="7"/>
  <c r="G157" i="7"/>
  <c r="G156" i="7"/>
  <c r="F156" i="7"/>
  <c r="F155" i="7"/>
  <c r="G155" i="7"/>
  <c r="G154" i="7"/>
  <c r="F154" i="7"/>
  <c r="G153" i="7"/>
  <c r="F153" i="7"/>
  <c r="F152" i="7"/>
  <c r="G152" i="7"/>
  <c r="F151" i="7"/>
  <c r="G151" i="7"/>
  <c r="F150" i="7"/>
  <c r="G150" i="7"/>
  <c r="F149" i="7"/>
  <c r="G149" i="7"/>
  <c r="F148" i="7"/>
  <c r="G148" i="7"/>
  <c r="G147" i="7"/>
  <c r="F147" i="7"/>
  <c r="G146" i="7"/>
  <c r="F146" i="7"/>
  <c r="G145" i="7"/>
  <c r="F145" i="7"/>
  <c r="G144" i="7"/>
  <c r="F144" i="7"/>
  <c r="G143" i="7"/>
  <c r="F143" i="7"/>
  <c r="G142" i="7"/>
  <c r="F142" i="7"/>
  <c r="G141" i="7"/>
  <c r="F141" i="7"/>
  <c r="G140" i="7"/>
  <c r="F140" i="7"/>
  <c r="G139" i="7"/>
  <c r="F139" i="7"/>
  <c r="F138" i="7"/>
  <c r="G138" i="7"/>
  <c r="F137" i="7"/>
  <c r="G137" i="7"/>
  <c r="G136" i="7"/>
  <c r="F136" i="7"/>
  <c r="G135" i="7"/>
  <c r="F135" i="7"/>
  <c r="G134" i="7"/>
  <c r="F134" i="7"/>
  <c r="G133" i="7"/>
  <c r="F133" i="7"/>
  <c r="G132" i="7"/>
  <c r="F132" i="7"/>
  <c r="F131" i="7"/>
  <c r="G131" i="7"/>
  <c r="G130" i="7"/>
  <c r="F130" i="7"/>
  <c r="F129" i="7"/>
  <c r="G129" i="7"/>
  <c r="F128" i="7"/>
  <c r="G128" i="7"/>
  <c r="G127" i="7"/>
  <c r="F127" i="7"/>
  <c r="G126" i="7"/>
  <c r="F126" i="7"/>
  <c r="G125" i="7"/>
  <c r="F125" i="7"/>
  <c r="G124" i="7"/>
  <c r="F124" i="7"/>
  <c r="F123" i="7"/>
  <c r="G123" i="7"/>
  <c r="F122" i="7"/>
  <c r="G122" i="7"/>
  <c r="F121" i="7"/>
  <c r="G121" i="7"/>
  <c r="F120" i="7"/>
  <c r="G120" i="7"/>
  <c r="F119" i="7"/>
  <c r="G119" i="7"/>
  <c r="F118" i="7"/>
  <c r="G118" i="7"/>
  <c r="F117" i="7"/>
  <c r="G117" i="7"/>
  <c r="F116" i="7"/>
  <c r="G116" i="7"/>
  <c r="F115" i="7"/>
  <c r="G115" i="7"/>
  <c r="F114" i="7"/>
  <c r="G114" i="7"/>
  <c r="F113" i="7"/>
  <c r="G113" i="7"/>
  <c r="F111" i="7"/>
  <c r="G111" i="7"/>
  <c r="F110" i="7"/>
  <c r="G110" i="7"/>
  <c r="F109" i="7"/>
  <c r="G109" i="7"/>
  <c r="G108" i="7"/>
  <c r="F108" i="7"/>
  <c r="G107" i="7"/>
  <c r="F107" i="7"/>
  <c r="G106" i="7"/>
  <c r="F106" i="7"/>
  <c r="G105" i="7"/>
  <c r="F105" i="7"/>
  <c r="G104" i="7"/>
  <c r="F104" i="7"/>
  <c r="F103" i="7"/>
  <c r="G103" i="7"/>
  <c r="G102" i="7"/>
  <c r="F102" i="7"/>
  <c r="F101" i="7"/>
  <c r="G101" i="7"/>
  <c r="G100" i="7"/>
  <c r="F100" i="7"/>
  <c r="G99" i="7"/>
  <c r="F99" i="7"/>
  <c r="F98" i="7"/>
  <c r="G98" i="7"/>
  <c r="F97" i="7"/>
  <c r="G97" i="7"/>
  <c r="G96" i="7"/>
  <c r="F96" i="7"/>
  <c r="G95" i="7"/>
  <c r="F95" i="7"/>
  <c r="G94" i="7"/>
  <c r="F94" i="7"/>
  <c r="G93" i="7"/>
  <c r="F93" i="7"/>
  <c r="G92" i="7"/>
  <c r="F92" i="7"/>
  <c r="G91" i="7"/>
  <c r="F91" i="7"/>
  <c r="G90" i="7"/>
  <c r="F90" i="7"/>
  <c r="G89" i="7"/>
  <c r="F89" i="7"/>
  <c r="F88" i="7"/>
  <c r="G88" i="7"/>
  <c r="F87" i="7"/>
  <c r="G87" i="7"/>
  <c r="F86" i="7"/>
  <c r="G86" i="7"/>
  <c r="G85" i="7"/>
  <c r="F85" i="7"/>
  <c r="F84" i="7"/>
  <c r="G84" i="7"/>
  <c r="G83" i="7"/>
  <c r="F83" i="7"/>
  <c r="F82" i="7"/>
  <c r="G82" i="7"/>
  <c r="F81" i="7"/>
  <c r="G81" i="7"/>
  <c r="F80" i="7"/>
  <c r="G80" i="7"/>
  <c r="F79" i="7"/>
  <c r="G79" i="7"/>
  <c r="F78" i="7"/>
  <c r="G78" i="7"/>
  <c r="F77" i="7"/>
  <c r="G77" i="7"/>
  <c r="G76" i="7"/>
  <c r="F76" i="7"/>
  <c r="F75" i="7"/>
  <c r="G75" i="7"/>
  <c r="G74" i="7"/>
  <c r="F74" i="7"/>
  <c r="F73" i="7"/>
  <c r="G73" i="7"/>
  <c r="F72" i="7"/>
  <c r="G72" i="7"/>
  <c r="F71" i="7"/>
  <c r="G71" i="7"/>
  <c r="G70" i="7"/>
  <c r="F70" i="7"/>
  <c r="F69" i="7"/>
  <c r="G69" i="7"/>
  <c r="G68" i="7"/>
  <c r="F68" i="7"/>
  <c r="G67" i="7"/>
  <c r="F67" i="7"/>
  <c r="G66" i="7"/>
  <c r="F66" i="7"/>
  <c r="G65" i="7"/>
  <c r="F65" i="7"/>
  <c r="G64" i="7"/>
  <c r="F64" i="7"/>
  <c r="G63" i="7"/>
  <c r="F63" i="7"/>
  <c r="G62" i="7"/>
  <c r="F62" i="7"/>
  <c r="F61" i="7"/>
  <c r="G61" i="7"/>
  <c r="F60" i="7"/>
  <c r="G60" i="7"/>
  <c r="F59" i="7"/>
  <c r="G59" i="7"/>
  <c r="F58" i="7"/>
  <c r="G58" i="7"/>
  <c r="F57" i="7"/>
  <c r="G57" i="7"/>
  <c r="F56" i="7"/>
  <c r="G56" i="7"/>
  <c r="G55" i="7"/>
  <c r="F55" i="7"/>
  <c r="G54" i="7"/>
  <c r="F54" i="7"/>
  <c r="G53" i="7"/>
  <c r="F53" i="7"/>
  <c r="G52" i="7"/>
  <c r="F52" i="7"/>
  <c r="G51" i="7"/>
  <c r="F51" i="7"/>
  <c r="G50" i="7"/>
  <c r="F50" i="7"/>
  <c r="F49" i="7"/>
  <c r="G49" i="7"/>
  <c r="G48" i="7"/>
  <c r="F48" i="7"/>
  <c r="G47" i="7"/>
  <c r="F47" i="7"/>
  <c r="G46" i="7"/>
  <c r="F46" i="7"/>
  <c r="F45" i="7"/>
  <c r="G45" i="7"/>
  <c r="F44" i="7"/>
  <c r="G44" i="7"/>
  <c r="F43" i="7"/>
  <c r="G43" i="7"/>
  <c r="F42" i="7"/>
  <c r="G42" i="7"/>
  <c r="G41" i="7"/>
  <c r="F41" i="7"/>
  <c r="F40" i="7"/>
  <c r="G40" i="7"/>
  <c r="F39" i="7"/>
  <c r="G39" i="7"/>
  <c r="F38" i="7"/>
  <c r="G38" i="7"/>
  <c r="G37" i="7"/>
  <c r="F37" i="7"/>
  <c r="F36" i="7"/>
  <c r="G36" i="7"/>
  <c r="G35" i="7"/>
  <c r="F35" i="7"/>
  <c r="F34" i="7"/>
  <c r="G34" i="7"/>
  <c r="F33" i="7"/>
  <c r="G33" i="7"/>
  <c r="F32" i="7"/>
  <c r="G32" i="7"/>
  <c r="F31" i="7"/>
  <c r="G31" i="7"/>
  <c r="F30" i="7"/>
  <c r="G30" i="7"/>
  <c r="G29" i="7"/>
  <c r="F29" i="7"/>
  <c r="G28" i="7"/>
  <c r="F28" i="7"/>
  <c r="G27" i="7"/>
  <c r="F27" i="7"/>
  <c r="G26" i="7"/>
  <c r="F26" i="7"/>
  <c r="G25" i="7"/>
  <c r="F25" i="7"/>
  <c r="G24" i="7"/>
  <c r="F24" i="7"/>
  <c r="F23" i="7"/>
  <c r="G23" i="7"/>
  <c r="G22" i="7"/>
  <c r="F22" i="7"/>
  <c r="G21" i="7"/>
  <c r="F21" i="7"/>
  <c r="G20" i="7"/>
  <c r="F20" i="7"/>
  <c r="G19" i="7"/>
  <c r="F19" i="7"/>
  <c r="G18" i="7"/>
  <c r="F18" i="7"/>
  <c r="G17" i="7"/>
  <c r="F17" i="7"/>
  <c r="G16" i="7"/>
  <c r="F16" i="7"/>
  <c r="G15" i="7"/>
  <c r="F15" i="7"/>
  <c r="G14" i="7"/>
  <c r="F14" i="7"/>
  <c r="G13" i="7"/>
  <c r="F13" i="7"/>
  <c r="G12" i="7"/>
  <c r="F12" i="7"/>
  <c r="G11" i="7"/>
  <c r="F11" i="7"/>
  <c r="G10" i="7"/>
  <c r="F10" i="7"/>
  <c r="G9" i="7"/>
  <c r="F9" i="7"/>
  <c r="G8" i="7"/>
  <c r="F8" i="7"/>
  <c r="G7" i="7"/>
  <c r="F7" i="7"/>
  <c r="F6" i="7"/>
  <c r="G6" i="7"/>
  <c r="G5" i="7"/>
  <c r="F5" i="7"/>
  <c r="G4" i="7"/>
  <c r="F4" i="7"/>
  <c r="E12" i="6"/>
  <c r="B15" i="9"/>
  <c r="B14" i="9"/>
  <c r="E11" i="6"/>
  <c r="B13" i="9"/>
  <c r="E10" i="6"/>
  <c r="I251" i="5"/>
  <c r="G251" i="5"/>
  <c r="H251" i="5" s="1"/>
  <c r="I250" i="5"/>
  <c r="G250" i="5"/>
  <c r="H250" i="5" s="1"/>
  <c r="I249" i="5"/>
  <c r="G249" i="5"/>
  <c r="H249" i="5" s="1"/>
  <c r="I248" i="5"/>
  <c r="G248" i="5"/>
  <c r="H248" i="5" s="1"/>
  <c r="I247" i="5"/>
  <c r="G247" i="5"/>
  <c r="H247" i="5" s="1"/>
  <c r="I246" i="5"/>
  <c r="G246" i="5"/>
  <c r="H246" i="5" s="1"/>
  <c r="I245" i="5"/>
  <c r="G245" i="5"/>
  <c r="H245" i="5" s="1"/>
  <c r="I244" i="5"/>
  <c r="G244" i="5"/>
  <c r="H244" i="5" s="1"/>
  <c r="I243" i="5"/>
  <c r="G243" i="5"/>
  <c r="H243" i="5" s="1"/>
  <c r="I242" i="5"/>
  <c r="G242" i="5"/>
  <c r="H242" i="5" s="1"/>
  <c r="I241" i="5"/>
  <c r="G241" i="5"/>
  <c r="H241" i="5" s="1"/>
  <c r="I240" i="5"/>
  <c r="G240" i="5"/>
  <c r="H240" i="5" s="1"/>
  <c r="I239" i="5"/>
  <c r="G239" i="5"/>
  <c r="H239" i="5" s="1"/>
  <c r="I238" i="5"/>
  <c r="G238" i="5"/>
  <c r="H238" i="5" s="1"/>
  <c r="I237" i="5"/>
  <c r="G237" i="5"/>
  <c r="H237" i="5" s="1"/>
  <c r="I236" i="5"/>
  <c r="G236" i="5"/>
  <c r="H236" i="5" s="1"/>
  <c r="I235" i="5"/>
  <c r="G235" i="5"/>
  <c r="H235" i="5" s="1"/>
  <c r="I234" i="5"/>
  <c r="G234" i="5"/>
  <c r="H234" i="5" s="1"/>
  <c r="G233" i="5"/>
  <c r="H233" i="5" s="1"/>
  <c r="I233" i="5"/>
  <c r="I232" i="5"/>
  <c r="G232" i="5"/>
  <c r="H232" i="5" s="1"/>
  <c r="G231" i="5"/>
  <c r="H231" i="5" s="1"/>
  <c r="I231" i="5"/>
  <c r="I230" i="5"/>
  <c r="G230" i="5"/>
  <c r="H230" i="5" s="1"/>
  <c r="I229" i="5"/>
  <c r="G229" i="5"/>
  <c r="H229" i="5" s="1"/>
  <c r="G228" i="5"/>
  <c r="H228" i="5" s="1"/>
  <c r="I228" i="5"/>
  <c r="I227" i="5"/>
  <c r="G227" i="5"/>
  <c r="H227" i="5" s="1"/>
  <c r="I225" i="5"/>
  <c r="G225" i="5"/>
  <c r="H225" i="5" s="1"/>
  <c r="I224" i="5"/>
  <c r="G224" i="5"/>
  <c r="H224" i="5" s="1"/>
  <c r="I223" i="5"/>
  <c r="G223" i="5"/>
  <c r="H223" i="5" s="1"/>
  <c r="G222" i="5"/>
  <c r="H222" i="5" s="1"/>
  <c r="I222" i="5"/>
  <c r="G221" i="5"/>
  <c r="H221" i="5" s="1"/>
  <c r="I221" i="5"/>
  <c r="I220" i="5"/>
  <c r="G220" i="5"/>
  <c r="H220" i="5" s="1"/>
  <c r="I219" i="5"/>
  <c r="G219" i="5"/>
  <c r="H219" i="5" s="1"/>
  <c r="I218" i="5"/>
  <c r="G218" i="5"/>
  <c r="H218" i="5" s="1"/>
  <c r="G217" i="5"/>
  <c r="H217" i="5" s="1"/>
  <c r="I217" i="5"/>
  <c r="G216" i="5"/>
  <c r="H216" i="5" s="1"/>
  <c r="I216" i="5"/>
  <c r="I215" i="5"/>
  <c r="G215" i="5"/>
  <c r="H215" i="5" s="1"/>
  <c r="G214" i="5"/>
  <c r="H214" i="5" s="1"/>
  <c r="I214" i="5"/>
  <c r="G213" i="5"/>
  <c r="H213" i="5" s="1"/>
  <c r="I213" i="5"/>
  <c r="G212" i="5"/>
  <c r="H212" i="5" s="1"/>
  <c r="I212" i="5"/>
  <c r="G211" i="5"/>
  <c r="H211" i="5" s="1"/>
  <c r="I211" i="5"/>
  <c r="G210" i="5"/>
  <c r="H210" i="5" s="1"/>
  <c r="I210" i="5"/>
  <c r="G209" i="5"/>
  <c r="H209" i="5" s="1"/>
  <c r="I209" i="5"/>
  <c r="G208" i="5"/>
  <c r="H208" i="5" s="1"/>
  <c r="I208" i="5"/>
  <c r="G207" i="5"/>
  <c r="H207" i="5" s="1"/>
  <c r="I207" i="5"/>
  <c r="G206" i="5"/>
  <c r="H206" i="5" s="1"/>
  <c r="I206" i="5"/>
  <c r="I205" i="5"/>
  <c r="G205" i="5"/>
  <c r="H205" i="5" s="1"/>
  <c r="I204" i="5"/>
  <c r="G204" i="5"/>
  <c r="H204" i="5" s="1"/>
  <c r="I203" i="5"/>
  <c r="G203" i="5"/>
  <c r="H203" i="5" s="1"/>
  <c r="G202" i="5"/>
  <c r="H202" i="5" s="1"/>
  <c r="I202" i="5"/>
  <c r="I201" i="5"/>
  <c r="G201" i="5"/>
  <c r="H201" i="5" s="1"/>
  <c r="I200" i="5"/>
  <c r="G200" i="5"/>
  <c r="H200" i="5" s="1"/>
  <c r="G199" i="5"/>
  <c r="H199" i="5" s="1"/>
  <c r="I199" i="5"/>
  <c r="G198" i="5"/>
  <c r="H198" i="5" s="1"/>
  <c r="I198" i="5"/>
  <c r="I197" i="5"/>
  <c r="G197" i="5"/>
  <c r="H197" i="5" s="1"/>
  <c r="G196" i="5"/>
  <c r="H196" i="5" s="1"/>
  <c r="I196" i="5"/>
  <c r="G195" i="5"/>
  <c r="H195" i="5" s="1"/>
  <c r="I195" i="5"/>
  <c r="I194" i="5"/>
  <c r="G194" i="5"/>
  <c r="H194" i="5" s="1"/>
  <c r="G193" i="5"/>
  <c r="H193" i="5" s="1"/>
  <c r="I193" i="5"/>
  <c r="G192" i="5"/>
  <c r="H192" i="5" s="1"/>
  <c r="I192" i="5"/>
  <c r="G191" i="5"/>
  <c r="H191" i="5" s="1"/>
  <c r="I191" i="5"/>
  <c r="I190" i="5"/>
  <c r="G190" i="5"/>
  <c r="H190" i="5" s="1"/>
  <c r="I189" i="5"/>
  <c r="G189" i="5"/>
  <c r="H189" i="5" s="1"/>
  <c r="G188" i="5"/>
  <c r="H188" i="5" s="1"/>
  <c r="I188" i="5"/>
  <c r="I187" i="5"/>
  <c r="G187" i="5"/>
  <c r="H187" i="5" s="1"/>
  <c r="I186" i="5"/>
  <c r="G186" i="5"/>
  <c r="H186" i="5" s="1"/>
  <c r="I185" i="5"/>
  <c r="G185" i="5"/>
  <c r="H185" i="5" s="1"/>
  <c r="G184" i="5"/>
  <c r="H184" i="5" s="1"/>
  <c r="I184" i="5"/>
  <c r="I183" i="5"/>
  <c r="G183" i="5"/>
  <c r="H183" i="5" s="1"/>
  <c r="I182" i="5"/>
  <c r="G182" i="5"/>
  <c r="H182" i="5" s="1"/>
  <c r="I181" i="5"/>
  <c r="G181" i="5"/>
  <c r="H181" i="5" s="1"/>
  <c r="I180" i="5"/>
  <c r="G180" i="5"/>
  <c r="H180" i="5" s="1"/>
  <c r="I179" i="5"/>
  <c r="G179" i="5"/>
  <c r="H179" i="5" s="1"/>
  <c r="G178" i="5"/>
  <c r="H178" i="5" s="1"/>
  <c r="I178" i="5"/>
  <c r="I177" i="5"/>
  <c r="G177" i="5"/>
  <c r="H177" i="5" s="1"/>
  <c r="G176" i="5"/>
  <c r="H176" i="5" s="1"/>
  <c r="I176" i="5"/>
  <c r="G175" i="5"/>
  <c r="H175" i="5" s="1"/>
  <c r="I175" i="5"/>
  <c r="G174" i="5"/>
  <c r="H174" i="5" s="1"/>
  <c r="I174" i="5"/>
  <c r="G173" i="5"/>
  <c r="H173" i="5" s="1"/>
  <c r="I173" i="5"/>
  <c r="G172" i="5"/>
  <c r="H172" i="5" s="1"/>
  <c r="I172" i="5"/>
  <c r="G171" i="5"/>
  <c r="H171" i="5" s="1"/>
  <c r="I171" i="5"/>
  <c r="I169" i="5"/>
  <c r="G169" i="5"/>
  <c r="H169" i="5" s="1"/>
  <c r="I168" i="5"/>
  <c r="G168" i="5"/>
  <c r="H168" i="5" s="1"/>
  <c r="I167" i="5"/>
  <c r="G167" i="5"/>
  <c r="H167" i="5" s="1"/>
  <c r="I166" i="5"/>
  <c r="G166" i="5"/>
  <c r="H166" i="5" s="1"/>
  <c r="I165" i="5"/>
  <c r="G165" i="5"/>
  <c r="H165" i="5" s="1"/>
  <c r="G164" i="5"/>
  <c r="H164" i="5" s="1"/>
  <c r="I164" i="5"/>
  <c r="I163" i="5"/>
  <c r="G163" i="5"/>
  <c r="H163" i="5" s="1"/>
  <c r="I162" i="5"/>
  <c r="G162" i="5"/>
  <c r="H162" i="5" s="1"/>
  <c r="I161" i="5"/>
  <c r="G161" i="5"/>
  <c r="H161" i="5" s="1"/>
  <c r="I160" i="5"/>
  <c r="G160" i="5"/>
  <c r="H160" i="5" s="1"/>
  <c r="I159" i="5"/>
  <c r="G159" i="5"/>
  <c r="H159" i="5" s="1"/>
  <c r="I158" i="5"/>
  <c r="G158" i="5"/>
  <c r="H158" i="5" s="1"/>
  <c r="I157" i="5"/>
  <c r="G157" i="5"/>
  <c r="H157" i="5" s="1"/>
  <c r="G156" i="5"/>
  <c r="H156" i="5" s="1"/>
  <c r="I156" i="5"/>
  <c r="G155" i="5"/>
  <c r="H155" i="5" s="1"/>
  <c r="I155" i="5"/>
  <c r="I154" i="5"/>
  <c r="G154" i="5"/>
  <c r="H154" i="5" s="1"/>
  <c r="I153" i="5"/>
  <c r="G153" i="5"/>
  <c r="H153" i="5" s="1"/>
  <c r="I152" i="5"/>
  <c r="G152" i="5"/>
  <c r="H152" i="5" s="1"/>
  <c r="I151" i="5"/>
  <c r="G151" i="5"/>
  <c r="H151" i="5" s="1"/>
  <c r="I150" i="5"/>
  <c r="G150" i="5"/>
  <c r="H150" i="5" s="1"/>
  <c r="I149" i="5"/>
  <c r="G149" i="5"/>
  <c r="H149" i="5" s="1"/>
  <c r="I148" i="5"/>
  <c r="G148" i="5"/>
  <c r="H148" i="5" s="1"/>
  <c r="I147" i="5"/>
  <c r="G147" i="5"/>
  <c r="H147" i="5" s="1"/>
  <c r="I146" i="5"/>
  <c r="G146" i="5"/>
  <c r="H146" i="5" s="1"/>
  <c r="I145" i="5"/>
  <c r="G145" i="5"/>
  <c r="H145" i="5" s="1"/>
  <c r="I144" i="5"/>
  <c r="G144" i="5"/>
  <c r="H144" i="5" s="1"/>
  <c r="G143" i="5"/>
  <c r="H143" i="5" s="1"/>
  <c r="I143" i="5"/>
  <c r="G142" i="5"/>
  <c r="H142" i="5" s="1"/>
  <c r="I142" i="5"/>
  <c r="G141" i="5"/>
  <c r="H141" i="5" s="1"/>
  <c r="I141" i="5"/>
  <c r="G140" i="5"/>
  <c r="H140" i="5" s="1"/>
  <c r="I140" i="5"/>
  <c r="I139" i="5"/>
  <c r="G139" i="5"/>
  <c r="H139" i="5" s="1"/>
  <c r="I138" i="5"/>
  <c r="G138" i="5"/>
  <c r="H138" i="5" s="1"/>
  <c r="I137" i="5"/>
  <c r="G137" i="5"/>
  <c r="H137" i="5" s="1"/>
  <c r="I136" i="5"/>
  <c r="G136" i="5"/>
  <c r="H136" i="5" s="1"/>
  <c r="G135" i="5"/>
  <c r="H135" i="5" s="1"/>
  <c r="I135" i="5"/>
  <c r="I134" i="5"/>
  <c r="G134" i="5"/>
  <c r="H134" i="5" s="1"/>
  <c r="I133" i="5"/>
  <c r="G133" i="5"/>
  <c r="H133" i="5" s="1"/>
  <c r="I132" i="5"/>
  <c r="G132" i="5"/>
  <c r="H132" i="5" s="1"/>
  <c r="I131" i="5"/>
  <c r="G131" i="5"/>
  <c r="H131" i="5" s="1"/>
  <c r="I130" i="5"/>
  <c r="G130" i="5"/>
  <c r="H130" i="5" s="1"/>
  <c r="I129" i="5"/>
  <c r="G129" i="5"/>
  <c r="H129" i="5" s="1"/>
  <c r="I128" i="5"/>
  <c r="G128" i="5"/>
  <c r="H128" i="5" s="1"/>
  <c r="I127" i="5"/>
  <c r="G127" i="5"/>
  <c r="H127" i="5" s="1"/>
  <c r="I126" i="5"/>
  <c r="G126" i="5"/>
  <c r="H126" i="5" s="1"/>
  <c r="I125" i="5"/>
  <c r="G125" i="5"/>
  <c r="H125" i="5" s="1"/>
  <c r="I124" i="5"/>
  <c r="G124" i="5"/>
  <c r="H124" i="5" s="1"/>
  <c r="I123" i="5"/>
  <c r="G123" i="5"/>
  <c r="H123" i="5" s="1"/>
  <c r="I122" i="5"/>
  <c r="G122" i="5"/>
  <c r="H122" i="5" s="1"/>
  <c r="I121" i="5"/>
  <c r="G121" i="5"/>
  <c r="H121" i="5" s="1"/>
  <c r="I120" i="5"/>
  <c r="G120" i="5"/>
  <c r="H120" i="5" s="1"/>
  <c r="I119" i="5"/>
  <c r="G119" i="5"/>
  <c r="H119" i="5" s="1"/>
  <c r="I118" i="5"/>
  <c r="G118" i="5"/>
  <c r="H118" i="5" s="1"/>
  <c r="I117" i="5"/>
  <c r="G117" i="5"/>
  <c r="H117" i="5" s="1"/>
  <c r="I116" i="5"/>
  <c r="G116" i="5"/>
  <c r="H116" i="5" s="1"/>
  <c r="G115" i="5"/>
  <c r="H115" i="5" s="1"/>
  <c r="I115" i="5"/>
  <c r="I114" i="5"/>
  <c r="G114" i="5"/>
  <c r="H114" i="5" s="1"/>
  <c r="G113" i="5"/>
  <c r="H113" i="5" s="1"/>
  <c r="I113" i="5"/>
  <c r="I112" i="5"/>
  <c r="G112" i="5"/>
  <c r="H112" i="5" s="1"/>
  <c r="G111" i="5"/>
  <c r="H111" i="5" s="1"/>
  <c r="I111" i="5"/>
  <c r="G110" i="5"/>
  <c r="H110" i="5" s="1"/>
  <c r="I110" i="5"/>
  <c r="G109" i="5"/>
  <c r="H109" i="5" s="1"/>
  <c r="I109" i="5"/>
  <c r="G108" i="5"/>
  <c r="H108" i="5" s="1"/>
  <c r="I108" i="5"/>
  <c r="G107" i="5"/>
  <c r="H107" i="5" s="1"/>
  <c r="I107" i="5"/>
  <c r="I106" i="5"/>
  <c r="G106" i="5"/>
  <c r="H106" i="5" s="1"/>
  <c r="G105" i="5"/>
  <c r="H105" i="5" s="1"/>
  <c r="I105" i="5"/>
  <c r="G104" i="5"/>
  <c r="H104" i="5" s="1"/>
  <c r="I104" i="5"/>
  <c r="I103" i="5"/>
  <c r="G103" i="5"/>
  <c r="H103" i="5" s="1"/>
  <c r="G102" i="5"/>
  <c r="H102" i="5" s="1"/>
  <c r="I102" i="5"/>
  <c r="I101" i="5"/>
  <c r="G101" i="5"/>
  <c r="H101" i="5" s="1"/>
  <c r="G100" i="5"/>
  <c r="H100" i="5" s="1"/>
  <c r="I100" i="5"/>
  <c r="G99" i="5"/>
  <c r="H99" i="5" s="1"/>
  <c r="I99" i="5"/>
  <c r="G98" i="5"/>
  <c r="H98" i="5" s="1"/>
  <c r="I98" i="5"/>
  <c r="I97" i="5"/>
  <c r="G97" i="5"/>
  <c r="H97" i="5" s="1"/>
  <c r="I96" i="5"/>
  <c r="G96" i="5"/>
  <c r="H96" i="5" s="1"/>
  <c r="G95" i="5"/>
  <c r="H95" i="5" s="1"/>
  <c r="I95" i="5"/>
  <c r="G94" i="5"/>
  <c r="H94" i="5" s="1"/>
  <c r="I94" i="5"/>
  <c r="I93" i="5"/>
  <c r="G93" i="5"/>
  <c r="H93" i="5" s="1"/>
  <c r="G92" i="5"/>
  <c r="H92" i="5" s="1"/>
  <c r="I92" i="5"/>
  <c r="G91" i="5"/>
  <c r="H91" i="5" s="1"/>
  <c r="I91" i="5"/>
  <c r="G90" i="5"/>
  <c r="H90" i="5" s="1"/>
  <c r="I90" i="5"/>
  <c r="G89" i="5"/>
  <c r="H89" i="5" s="1"/>
  <c r="I89" i="5"/>
  <c r="G88" i="5"/>
  <c r="H88" i="5" s="1"/>
  <c r="I88" i="5"/>
  <c r="I87" i="5"/>
  <c r="G87" i="5"/>
  <c r="H87" i="5" s="1"/>
  <c r="I86" i="5"/>
  <c r="G86" i="5"/>
  <c r="H86" i="5" s="1"/>
  <c r="I85" i="5"/>
  <c r="G85" i="5"/>
  <c r="H85" i="5" s="1"/>
  <c r="I84" i="5"/>
  <c r="G84" i="5"/>
  <c r="H84" i="5" s="1"/>
  <c r="I83" i="5"/>
  <c r="G83" i="5"/>
  <c r="H83" i="5" s="1"/>
  <c r="I82" i="5"/>
  <c r="G82" i="5"/>
  <c r="H82" i="5" s="1"/>
  <c r="I81" i="5"/>
  <c r="G81" i="5"/>
  <c r="H81" i="5" s="1"/>
  <c r="I80" i="5"/>
  <c r="G80" i="5"/>
  <c r="H80" i="5" s="1"/>
  <c r="I79" i="5"/>
  <c r="G79" i="5"/>
  <c r="H79" i="5" s="1"/>
  <c r="G78" i="5"/>
  <c r="H78" i="5" s="1"/>
  <c r="I78" i="5"/>
  <c r="G77" i="5"/>
  <c r="H77" i="5" s="1"/>
  <c r="I77" i="5"/>
  <c r="G76" i="5"/>
  <c r="H76" i="5" s="1"/>
  <c r="I76" i="5"/>
  <c r="I75" i="5"/>
  <c r="G75" i="5"/>
  <c r="H75" i="5" s="1"/>
  <c r="G74" i="5"/>
  <c r="H74" i="5" s="1"/>
  <c r="I74" i="5"/>
  <c r="G73" i="5"/>
  <c r="H73" i="5" s="1"/>
  <c r="I73" i="5"/>
  <c r="G72" i="5"/>
  <c r="H72" i="5" s="1"/>
  <c r="I72" i="5"/>
  <c r="G71" i="5"/>
  <c r="H71" i="5" s="1"/>
  <c r="I71" i="5"/>
  <c r="G70" i="5"/>
  <c r="H70" i="5" s="1"/>
  <c r="I70" i="5"/>
  <c r="G69" i="5"/>
  <c r="H69" i="5" s="1"/>
  <c r="I69" i="5"/>
  <c r="G68" i="5"/>
  <c r="H68" i="5" s="1"/>
  <c r="I68" i="5"/>
  <c r="G67" i="5"/>
  <c r="H67" i="5" s="1"/>
  <c r="I67" i="5"/>
  <c r="G66" i="5"/>
  <c r="H66" i="5" s="1"/>
  <c r="I66" i="5"/>
  <c r="G65" i="5"/>
  <c r="H65" i="5" s="1"/>
  <c r="I65" i="5"/>
  <c r="G64" i="5"/>
  <c r="H64" i="5" s="1"/>
  <c r="I64" i="5"/>
  <c r="I63" i="5"/>
  <c r="G63" i="5"/>
  <c r="H63" i="5" s="1"/>
  <c r="I62" i="5"/>
  <c r="G62" i="5"/>
  <c r="H62" i="5" s="1"/>
  <c r="G61" i="5"/>
  <c r="H61" i="5" s="1"/>
  <c r="I61" i="5"/>
  <c r="G60" i="5"/>
  <c r="H60" i="5" s="1"/>
  <c r="I60" i="5"/>
  <c r="G59" i="5"/>
  <c r="H59" i="5" s="1"/>
  <c r="I59" i="5"/>
  <c r="G58" i="5"/>
  <c r="H58" i="5" s="1"/>
  <c r="I58" i="5"/>
  <c r="I57" i="5"/>
  <c r="G57" i="5"/>
  <c r="H57" i="5" s="1"/>
  <c r="I56" i="5"/>
  <c r="G56" i="5"/>
  <c r="H56" i="5" s="1"/>
  <c r="G55" i="5"/>
  <c r="H55" i="5" s="1"/>
  <c r="I55" i="5"/>
  <c r="I54" i="5"/>
  <c r="G54" i="5"/>
  <c r="H54" i="5" s="1"/>
  <c r="G53" i="5"/>
  <c r="H53" i="5" s="1"/>
  <c r="I53" i="5"/>
  <c r="I52" i="5"/>
  <c r="G52" i="5"/>
  <c r="H52" i="5" s="1"/>
  <c r="I51" i="5"/>
  <c r="G51" i="5"/>
  <c r="H51" i="5" s="1"/>
  <c r="I50" i="5"/>
  <c r="G50" i="5"/>
  <c r="H50" i="5" s="1"/>
  <c r="I49" i="5"/>
  <c r="G49" i="5"/>
  <c r="H49" i="5" s="1"/>
  <c r="G48" i="5"/>
  <c r="H48" i="5" s="1"/>
  <c r="I48" i="5"/>
  <c r="I47" i="5"/>
  <c r="G47" i="5"/>
  <c r="H47" i="5" s="1"/>
  <c r="G46" i="5"/>
  <c r="H46" i="5" s="1"/>
  <c r="I46" i="5"/>
  <c r="I45" i="5"/>
  <c r="G45" i="5"/>
  <c r="H45" i="5" s="1"/>
  <c r="G44" i="5"/>
  <c r="H44" i="5" s="1"/>
  <c r="I44" i="5"/>
  <c r="I43" i="5"/>
  <c r="G43" i="5"/>
  <c r="H43" i="5" s="1"/>
  <c r="G42" i="5"/>
  <c r="H42" i="5" s="1"/>
  <c r="I42" i="5"/>
  <c r="I41" i="5"/>
  <c r="G41" i="5"/>
  <c r="H41" i="5" s="1"/>
  <c r="I40" i="5"/>
  <c r="G40" i="5"/>
  <c r="H40" i="5" s="1"/>
  <c r="I39" i="5"/>
  <c r="G39" i="5"/>
  <c r="H39" i="5" s="1"/>
  <c r="I38" i="5"/>
  <c r="G38" i="5"/>
  <c r="H38" i="5" s="1"/>
  <c r="I37" i="5"/>
  <c r="G37" i="5"/>
  <c r="H37" i="5" s="1"/>
  <c r="I36" i="5"/>
  <c r="G36" i="5"/>
  <c r="H36" i="5" s="1"/>
  <c r="I35" i="5"/>
  <c r="G35" i="5"/>
  <c r="H35" i="5" s="1"/>
  <c r="G34" i="5"/>
  <c r="H34" i="5" s="1"/>
  <c r="I34" i="5"/>
  <c r="I33" i="5"/>
  <c r="G33" i="5"/>
  <c r="H33" i="5" s="1"/>
  <c r="G32" i="5"/>
  <c r="H32" i="5" s="1"/>
  <c r="I32" i="5"/>
  <c r="I31" i="5"/>
  <c r="G31" i="5"/>
  <c r="H31" i="5" s="1"/>
  <c r="G30" i="5"/>
  <c r="H30" i="5" s="1"/>
  <c r="I30" i="5"/>
  <c r="I29" i="5"/>
  <c r="G29" i="5"/>
  <c r="H29" i="5" s="1"/>
  <c r="G28" i="5"/>
  <c r="H28" i="5" s="1"/>
  <c r="I28" i="5"/>
  <c r="I27" i="5"/>
  <c r="G27" i="5"/>
  <c r="H27" i="5" s="1"/>
  <c r="G26" i="5"/>
  <c r="H26" i="5" s="1"/>
  <c r="I26" i="5"/>
  <c r="I25" i="5"/>
  <c r="G25" i="5"/>
  <c r="H25" i="5" s="1"/>
  <c r="I24" i="5"/>
  <c r="G24" i="5"/>
  <c r="H24" i="5" s="1"/>
  <c r="I23" i="5"/>
  <c r="G23" i="5"/>
  <c r="H23" i="5" s="1"/>
  <c r="I22" i="5"/>
  <c r="G22" i="5"/>
  <c r="H22" i="5" s="1"/>
  <c r="I21" i="5"/>
  <c r="G21" i="5"/>
  <c r="H21" i="5" s="1"/>
  <c r="G20" i="5"/>
  <c r="H20" i="5" s="1"/>
  <c r="I20" i="5"/>
  <c r="I19" i="5"/>
  <c r="G19" i="5"/>
  <c r="H19" i="5" s="1"/>
  <c r="G18" i="5"/>
  <c r="H18" i="5" s="1"/>
  <c r="I18" i="5"/>
  <c r="I17" i="5"/>
  <c r="G17" i="5"/>
  <c r="H17" i="5" s="1"/>
  <c r="I16" i="5"/>
  <c r="G16" i="5"/>
  <c r="H16" i="5" s="1"/>
  <c r="G15" i="5"/>
  <c r="H15" i="5" s="1"/>
  <c r="I15" i="5"/>
  <c r="I14" i="5"/>
  <c r="G14" i="5"/>
  <c r="H14" i="5" s="1"/>
  <c r="I13" i="5"/>
  <c r="G13" i="5"/>
  <c r="H13" i="5" s="1"/>
  <c r="I12" i="5"/>
  <c r="G12" i="5"/>
  <c r="H12" i="5" s="1"/>
  <c r="I11" i="5"/>
  <c r="G11" i="5"/>
  <c r="H11" i="5" s="1"/>
  <c r="I10" i="5"/>
  <c r="G10" i="5"/>
  <c r="H10" i="5" s="1"/>
  <c r="G9" i="5"/>
  <c r="H9" i="5" s="1"/>
  <c r="I9" i="5"/>
  <c r="I8" i="5"/>
  <c r="G8" i="5"/>
  <c r="H8" i="5" s="1"/>
  <c r="I7" i="5"/>
  <c r="G7" i="5"/>
  <c r="H7" i="5" s="1"/>
  <c r="I6" i="5"/>
  <c r="G6" i="5"/>
  <c r="H6" i="5" s="1"/>
  <c r="I5" i="5"/>
  <c r="G5" i="5"/>
  <c r="H5" i="5" s="1"/>
  <c r="I4" i="5"/>
  <c r="G4" i="5"/>
  <c r="H4" i="5" s="1"/>
  <c r="I3" i="5"/>
  <c r="G3" i="5"/>
  <c r="H3" i="5" s="1"/>
  <c r="I2" i="5"/>
  <c r="G2" i="5"/>
  <c r="H2" i="5" s="1"/>
  <c r="F12" i="6" l="1"/>
  <c r="B9" i="9" s="1"/>
  <c r="D15" i="9"/>
  <c r="F11" i="6"/>
  <c r="D14" i="9"/>
  <c r="F10" i="6"/>
  <c r="D13" i="9"/>
  <c r="B4" i="9"/>
</calcChain>
</file>

<file path=xl/sharedStrings.xml><?xml version="1.0" encoding="utf-8"?>
<sst xmlns="http://schemas.openxmlformats.org/spreadsheetml/2006/main" count="1720" uniqueCount="464">
  <si>
    <t>Techcombank Credit Risk Analytics Platform - Full v3</t>
  </si>
  <si>
    <t>Purpose</t>
  </si>
  <si>
    <t>Interview-grade credit risk analytics and modelling platform for Senior Expert, Credit Risk Analytics and Modelling roles.</t>
  </si>
  <si>
    <t>Workflow</t>
  </si>
  <si>
    <t>Macro scenarios -&gt; Loan portfolio -&gt; PD/LGD/EAD -&gt; IFRS9 ECL -&gt; Stress testing -&gt; Early warning -&gt; Dashboard -&gt; Management actions.</t>
  </si>
  <si>
    <t>Editable inputs</t>
  </si>
  <si>
    <t>Blue font and yellow-fill cells are user inputs. Percent variables are entered as normal numbers, e.g. 8.02 means 8.02%, not 0.0802.</t>
  </si>
  <si>
    <t>Production note</t>
  </si>
  <si>
    <t>This is a synthetic demonstration model. Replace sample loan-level data with internal bank data before business use.</t>
  </si>
  <si>
    <t>Package contents</t>
  </si>
  <si>
    <t>Excel model, CSV data, Python engines, SQL data mart, Streamlit app, Power BI specification, governance pack, interview guide.</t>
  </si>
  <si>
    <t>Vietnam Macro Data Template - User Editable</t>
  </si>
  <si>
    <t>year</t>
  </si>
  <si>
    <t>gdp_growth_pct</t>
  </si>
  <si>
    <t>inflation_pct</t>
  </si>
  <si>
    <t>policy_rate_pct</t>
  </si>
  <si>
    <t>usd_vnd</t>
  </si>
  <si>
    <t>bond_yield_10y_pct</t>
  </si>
  <si>
    <t>credit_growth_pct</t>
  </si>
  <si>
    <t>source</t>
  </si>
  <si>
    <t>World Bank / SBV public references</t>
  </si>
  <si>
    <t>Public macro references / illustrative</t>
  </si>
  <si>
    <t>Base Case</t>
  </si>
  <si>
    <t>Normalised planning scenario</t>
  </si>
  <si>
    <t>Mild Stress</t>
  </si>
  <si>
    <t>GDP -2.0pp; Policy rate +1.0pp; Property -5%; FX +4%</t>
  </si>
  <si>
    <t>Severe Stress</t>
  </si>
  <si>
    <t>GDP -4.0pp; Policy rate +2.0pp; Property -15%; FX +8%</t>
  </si>
  <si>
    <t>Note</t>
  </si>
  <si>
    <t>All % inputs are entered as ordinary numbers. Example: type 8.02, not 8.02%.</t>
  </si>
  <si>
    <t>Source URLs</t>
  </si>
  <si>
    <t>https://data.worldbank.org/indicator/NY.GDP.MKTP.KD.ZG?locations=VN ; https://www.sbv.gov.vn</t>
  </si>
  <si>
    <t>loan_id</t>
  </si>
  <si>
    <t>segment</t>
  </si>
  <si>
    <t>industry</t>
  </si>
  <si>
    <t>region</t>
  </si>
  <si>
    <t>rating_grade</t>
  </si>
  <si>
    <t>outstanding_balance_vnd</t>
  </si>
  <si>
    <t>undrawn_commitment_vnd</t>
  </si>
  <si>
    <t>collateral_type</t>
  </si>
  <si>
    <t>ltv</t>
  </si>
  <si>
    <t>dscr</t>
  </si>
  <si>
    <t>leverage</t>
  </si>
  <si>
    <t>dpd</t>
  </si>
  <si>
    <t>rating_downgrade_notches</t>
  </si>
  <si>
    <t>pd_12m</t>
  </si>
  <si>
    <t>lgd</t>
  </si>
  <si>
    <t>ead_vnd</t>
  </si>
  <si>
    <t>ifrs9_stage</t>
  </si>
  <si>
    <t>lifetime_pd</t>
  </si>
  <si>
    <t>ecl_vnd</t>
  </si>
  <si>
    <t>default_flag</t>
  </si>
  <si>
    <t>LN00001</t>
  </si>
  <si>
    <t>Retail Mortgage</t>
  </si>
  <si>
    <t>Real Estate</t>
  </si>
  <si>
    <t>Hai Phong</t>
  </si>
  <si>
    <t>BB</t>
  </si>
  <si>
    <t>Machinery</t>
  </si>
  <si>
    <t>LN00002</t>
  </si>
  <si>
    <t>Large Corporate</t>
  </si>
  <si>
    <t>Healthcare</t>
  </si>
  <si>
    <t>Da Nang</t>
  </si>
  <si>
    <t>BBB</t>
  </si>
  <si>
    <t>LN00003</t>
  </si>
  <si>
    <t>SME</t>
  </si>
  <si>
    <t>Technology</t>
  </si>
  <si>
    <t>Can Tho</t>
  </si>
  <si>
    <t>B</t>
  </si>
  <si>
    <t>Receivables</t>
  </si>
  <si>
    <t>LN00004</t>
  </si>
  <si>
    <t>F&amp;B</t>
  </si>
  <si>
    <t>A</t>
  </si>
  <si>
    <t>Inventory</t>
  </si>
  <si>
    <t>LN00005</t>
  </si>
  <si>
    <t>Agriculture</t>
  </si>
  <si>
    <t>HCMC</t>
  </si>
  <si>
    <t>LN00006</t>
  </si>
  <si>
    <t>Retail</t>
  </si>
  <si>
    <t>Cash</t>
  </si>
  <si>
    <t>LN00007</t>
  </si>
  <si>
    <t>Energy</t>
  </si>
  <si>
    <t>Hanoi</t>
  </si>
  <si>
    <t>LN00008</t>
  </si>
  <si>
    <t>Manufacturing</t>
  </si>
  <si>
    <t>Unsecured</t>
  </si>
  <si>
    <t>LN00009</t>
  </si>
  <si>
    <t>Consumer Finance</t>
  </si>
  <si>
    <t>LN00010</t>
  </si>
  <si>
    <t>Dong Nai</t>
  </si>
  <si>
    <t>AA</t>
  </si>
  <si>
    <t>LN00011</t>
  </si>
  <si>
    <t>Transport</t>
  </si>
  <si>
    <t>LN00012</t>
  </si>
  <si>
    <t>LN00013</t>
  </si>
  <si>
    <t>LN00014</t>
  </si>
  <si>
    <t>Construction</t>
  </si>
  <si>
    <t>LN00015</t>
  </si>
  <si>
    <t>Binh Duong</t>
  </si>
  <si>
    <t>LN00016</t>
  </si>
  <si>
    <t>LN00017</t>
  </si>
  <si>
    <t>LN00018</t>
  </si>
  <si>
    <t>LN00019</t>
  </si>
  <si>
    <t>LN00020</t>
  </si>
  <si>
    <t>LN00021</t>
  </si>
  <si>
    <t>LN00022</t>
  </si>
  <si>
    <t>LN00023</t>
  </si>
  <si>
    <t>LN00024</t>
  </si>
  <si>
    <t>LN00025</t>
  </si>
  <si>
    <t>LN00026</t>
  </si>
  <si>
    <t>LN00027</t>
  </si>
  <si>
    <t>LN00028</t>
  </si>
  <si>
    <t>LN00029</t>
  </si>
  <si>
    <t>LN00030</t>
  </si>
  <si>
    <t>LN00031</t>
  </si>
  <si>
    <t>LN00032</t>
  </si>
  <si>
    <t>LN00033</t>
  </si>
  <si>
    <t>LN00034</t>
  </si>
  <si>
    <t>LN00035</t>
  </si>
  <si>
    <t>LN00036</t>
  </si>
  <si>
    <t>LN00037</t>
  </si>
  <si>
    <t>LN00038</t>
  </si>
  <si>
    <t>LN00039</t>
  </si>
  <si>
    <t>LN00040</t>
  </si>
  <si>
    <t>LN00041</t>
  </si>
  <si>
    <t>LN00042</t>
  </si>
  <si>
    <t>LN00043</t>
  </si>
  <si>
    <t>LN00044</t>
  </si>
  <si>
    <t>LN00045</t>
  </si>
  <si>
    <t>LN00046</t>
  </si>
  <si>
    <t>LN00047</t>
  </si>
  <si>
    <t>LN00048</t>
  </si>
  <si>
    <t>LN00049</t>
  </si>
  <si>
    <t>LN00050</t>
  </si>
  <si>
    <t>LN00051</t>
  </si>
  <si>
    <t>LN00052</t>
  </si>
  <si>
    <t>LN00053</t>
  </si>
  <si>
    <t>LN00054</t>
  </si>
  <si>
    <t>LN00055</t>
  </si>
  <si>
    <t>LN00056</t>
  </si>
  <si>
    <t>LN00057</t>
  </si>
  <si>
    <t>LN00058</t>
  </si>
  <si>
    <t>LN00059</t>
  </si>
  <si>
    <t>LN00060</t>
  </si>
  <si>
    <t>CCC</t>
  </si>
  <si>
    <t>LN00061</t>
  </si>
  <si>
    <t>LN00062</t>
  </si>
  <si>
    <t>LN00063</t>
  </si>
  <si>
    <t>LN00064</t>
  </si>
  <si>
    <t>LN00065</t>
  </si>
  <si>
    <t>LN00066</t>
  </si>
  <si>
    <t>LN00067</t>
  </si>
  <si>
    <t>LN00068</t>
  </si>
  <si>
    <t>LN00069</t>
  </si>
  <si>
    <t>LN00070</t>
  </si>
  <si>
    <t>LN00071</t>
  </si>
  <si>
    <t>LN00072</t>
  </si>
  <si>
    <t>LN00073</t>
  </si>
  <si>
    <t>LN00074</t>
  </si>
  <si>
    <t>LN00075</t>
  </si>
  <si>
    <t>LN00076</t>
  </si>
  <si>
    <t>LN00077</t>
  </si>
  <si>
    <t>LN00078</t>
  </si>
  <si>
    <t>LN00079</t>
  </si>
  <si>
    <t>LN00080</t>
  </si>
  <si>
    <t>LN00081</t>
  </si>
  <si>
    <t>LN00082</t>
  </si>
  <si>
    <t>LN00083</t>
  </si>
  <si>
    <t>AAA</t>
  </si>
  <si>
    <t>LN00084</t>
  </si>
  <si>
    <t>LN00085</t>
  </si>
  <si>
    <t>LN00086</t>
  </si>
  <si>
    <t>LN00087</t>
  </si>
  <si>
    <t>LN00088</t>
  </si>
  <si>
    <t>LN00089</t>
  </si>
  <si>
    <t>LN00090</t>
  </si>
  <si>
    <t>LN00091</t>
  </si>
  <si>
    <t>LN00092</t>
  </si>
  <si>
    <t>LN00093</t>
  </si>
  <si>
    <t>LN00094</t>
  </si>
  <si>
    <t>LN00095</t>
  </si>
  <si>
    <t>LN00096</t>
  </si>
  <si>
    <t>LN00097</t>
  </si>
  <si>
    <t>LN00098</t>
  </si>
  <si>
    <t>LN00099</t>
  </si>
  <si>
    <t>LN00100</t>
  </si>
  <si>
    <t>LN00101</t>
  </si>
  <si>
    <t>LN00102</t>
  </si>
  <si>
    <t>LN00103</t>
  </si>
  <si>
    <t>LN00104</t>
  </si>
  <si>
    <t>LN00105</t>
  </si>
  <si>
    <t>LN00106</t>
  </si>
  <si>
    <t>LN00107</t>
  </si>
  <si>
    <t>LN00108</t>
  </si>
  <si>
    <t>LN00109</t>
  </si>
  <si>
    <t>LN00110</t>
  </si>
  <si>
    <t>LN00111</t>
  </si>
  <si>
    <t>LN00112</t>
  </si>
  <si>
    <t>LN00113</t>
  </si>
  <si>
    <t>LN00114</t>
  </si>
  <si>
    <t>LN00115</t>
  </si>
  <si>
    <t>LN00116</t>
  </si>
  <si>
    <t>LN00117</t>
  </si>
  <si>
    <t>LN00118</t>
  </si>
  <si>
    <t>LN00119</t>
  </si>
  <si>
    <t>LN00120</t>
  </si>
  <si>
    <t>LN00121</t>
  </si>
  <si>
    <t>LN00122</t>
  </si>
  <si>
    <t>LN00123</t>
  </si>
  <si>
    <t>LN00124</t>
  </si>
  <si>
    <t>LN00125</t>
  </si>
  <si>
    <t>LN00126</t>
  </si>
  <si>
    <t>LN00127</t>
  </si>
  <si>
    <t>LN00128</t>
  </si>
  <si>
    <t>LN00129</t>
  </si>
  <si>
    <t>LN00130</t>
  </si>
  <si>
    <t>LN00131</t>
  </si>
  <si>
    <t>LN00132</t>
  </si>
  <si>
    <t>LN00133</t>
  </si>
  <si>
    <t>LN00134</t>
  </si>
  <si>
    <t>LN00135</t>
  </si>
  <si>
    <t>LN00136</t>
  </si>
  <si>
    <t>LN00137</t>
  </si>
  <si>
    <t>LN00138</t>
  </si>
  <si>
    <t>LN00139</t>
  </si>
  <si>
    <t>LN00140</t>
  </si>
  <si>
    <t>LN00141</t>
  </si>
  <si>
    <t>LN00142</t>
  </si>
  <si>
    <t>LN00143</t>
  </si>
  <si>
    <t>LN00144</t>
  </si>
  <si>
    <t>LN00145</t>
  </si>
  <si>
    <t>LN00146</t>
  </si>
  <si>
    <t>LN00147</t>
  </si>
  <si>
    <t>LN00148</t>
  </si>
  <si>
    <t>LN00149</t>
  </si>
  <si>
    <t>LN00150</t>
  </si>
  <si>
    <t>LN00151</t>
  </si>
  <si>
    <t>LN00152</t>
  </si>
  <si>
    <t>LN00153</t>
  </si>
  <si>
    <t>LN00154</t>
  </si>
  <si>
    <t>LN00155</t>
  </si>
  <si>
    <t>LN00156</t>
  </si>
  <si>
    <t>LN00157</t>
  </si>
  <si>
    <t>LN00158</t>
  </si>
  <si>
    <t>LN00159</t>
  </si>
  <si>
    <t>LN00160</t>
  </si>
  <si>
    <t>LN00161</t>
  </si>
  <si>
    <t>LN00162</t>
  </si>
  <si>
    <t>LN00163</t>
  </si>
  <si>
    <t>LN00164</t>
  </si>
  <si>
    <t>LN00165</t>
  </si>
  <si>
    <t>LN00166</t>
  </si>
  <si>
    <t>LN00167</t>
  </si>
  <si>
    <t>LN00168</t>
  </si>
  <si>
    <t>LN00169</t>
  </si>
  <si>
    <t>LN00170</t>
  </si>
  <si>
    <t>LN00171</t>
  </si>
  <si>
    <t>LN00172</t>
  </si>
  <si>
    <t>LN00173</t>
  </si>
  <si>
    <t>LN00174</t>
  </si>
  <si>
    <t>LN00175</t>
  </si>
  <si>
    <t>LN00176</t>
  </si>
  <si>
    <t>LN00177</t>
  </si>
  <si>
    <t>LN00178</t>
  </si>
  <si>
    <t>LN00179</t>
  </si>
  <si>
    <t>LN00180</t>
  </si>
  <si>
    <t>LN00181</t>
  </si>
  <si>
    <t>LN00182</t>
  </si>
  <si>
    <t>LN00183</t>
  </si>
  <si>
    <t>LN00184</t>
  </si>
  <si>
    <t>LN00185</t>
  </si>
  <si>
    <t>LN00186</t>
  </si>
  <si>
    <t>LN00187</t>
  </si>
  <si>
    <t>LN00188</t>
  </si>
  <si>
    <t>LN00189</t>
  </si>
  <si>
    <t>LN00190</t>
  </si>
  <si>
    <t>LN00191</t>
  </si>
  <si>
    <t>LN00192</t>
  </si>
  <si>
    <t>LN00193</t>
  </si>
  <si>
    <t>LN00194</t>
  </si>
  <si>
    <t>LN00195</t>
  </si>
  <si>
    <t>LN00196</t>
  </si>
  <si>
    <t>LN00197</t>
  </si>
  <si>
    <t>LN00198</t>
  </si>
  <si>
    <t>LN00199</t>
  </si>
  <si>
    <t>LN00200</t>
  </si>
  <si>
    <t>LN00201</t>
  </si>
  <si>
    <t>LN00202</t>
  </si>
  <si>
    <t>LN00203</t>
  </si>
  <si>
    <t>LN00204</t>
  </si>
  <si>
    <t>LN00205</t>
  </si>
  <si>
    <t>LN00206</t>
  </si>
  <si>
    <t>LN00207</t>
  </si>
  <si>
    <t>LN00208</t>
  </si>
  <si>
    <t>LN00209</t>
  </si>
  <si>
    <t>LN00210</t>
  </si>
  <si>
    <t>LN00211</t>
  </si>
  <si>
    <t>LN00212</t>
  </si>
  <si>
    <t>LN00213</t>
  </si>
  <si>
    <t>LN00214</t>
  </si>
  <si>
    <t>LN00215</t>
  </si>
  <si>
    <t>LN00216</t>
  </si>
  <si>
    <t>LN00217</t>
  </si>
  <si>
    <t>LN00218</t>
  </si>
  <si>
    <t>LN00219</t>
  </si>
  <si>
    <t>LN00220</t>
  </si>
  <si>
    <t>LN00221</t>
  </si>
  <si>
    <t>LN00222</t>
  </si>
  <si>
    <t>LN00223</t>
  </si>
  <si>
    <t>LN00224</t>
  </si>
  <si>
    <t>LN00225</t>
  </si>
  <si>
    <t>LN00226</t>
  </si>
  <si>
    <t>LN00227</t>
  </si>
  <si>
    <t>LN00228</t>
  </si>
  <si>
    <t>LN00229</t>
  </si>
  <si>
    <t>LN00230</t>
  </si>
  <si>
    <t>LN00231</t>
  </si>
  <si>
    <t>LN00232</t>
  </si>
  <si>
    <t>LN00233</t>
  </si>
  <si>
    <t>LN00234</t>
  </si>
  <si>
    <t>LN00235</t>
  </si>
  <si>
    <t>LN00236</t>
  </si>
  <si>
    <t>LN00237</t>
  </si>
  <si>
    <t>LN00238</t>
  </si>
  <si>
    <t>LN00239</t>
  </si>
  <si>
    <t>LN00240</t>
  </si>
  <si>
    <t>LN00241</t>
  </si>
  <si>
    <t>LN00242</t>
  </si>
  <si>
    <t>LN00243</t>
  </si>
  <si>
    <t>LN00244</t>
  </si>
  <si>
    <t>LN00245</t>
  </si>
  <si>
    <t>LN00246</t>
  </si>
  <si>
    <t>LN00247</t>
  </si>
  <si>
    <t>LN00248</t>
  </si>
  <si>
    <t>LN00249</t>
  </si>
  <si>
    <t>LN00250</t>
  </si>
  <si>
    <t>PD Model Framework and Scorecard Logic</t>
  </si>
  <si>
    <t>Component</t>
  </si>
  <si>
    <t>Variable</t>
  </si>
  <si>
    <t>Direction</t>
  </si>
  <si>
    <t>Interpretation</t>
  </si>
  <si>
    <t>Model Treatment</t>
  </si>
  <si>
    <t>Metric</t>
  </si>
  <si>
    <t>Prototype Result</t>
  </si>
  <si>
    <t>Financial strength</t>
  </si>
  <si>
    <t>DSCR</t>
  </si>
  <si>
    <t>Lower = higher risk</t>
  </si>
  <si>
    <t>Debt service capacity</t>
  </si>
  <si>
    <t>Logistic / scorecard variable</t>
  </si>
  <si>
    <t>AUC</t>
  </si>
  <si>
    <t>Leverage</t>
  </si>
  <si>
    <t>Debt/EBITDA</t>
  </si>
  <si>
    <t>Higher = higher risk</t>
  </si>
  <si>
    <t>Balance sheet stress</t>
  </si>
  <si>
    <t>Winsorised continuous variable</t>
  </si>
  <si>
    <t>Gini</t>
  </si>
  <si>
    <t>Behaviour</t>
  </si>
  <si>
    <t>DPD</t>
  </si>
  <si>
    <t>Payment delay signal</t>
  </si>
  <si>
    <t>Bucketed variable</t>
  </si>
  <si>
    <t>KS</t>
  </si>
  <si>
    <t>Rating migration</t>
  </si>
  <si>
    <t>Downgrade notches</t>
  </si>
  <si>
    <t>SICR and PD shift</t>
  </si>
  <si>
    <t>Ordinal variable</t>
  </si>
  <si>
    <t>PSI</t>
  </si>
  <si>
    <t>Collateral</t>
  </si>
  <si>
    <t>LTV</t>
  </si>
  <si>
    <t>Higher = higher LGD</t>
  </si>
  <si>
    <t>Collateral buffer</t>
  </si>
  <si>
    <t>LGD model input</t>
  </si>
  <si>
    <t>Status</t>
  </si>
  <si>
    <t>Pass / monitor</t>
  </si>
  <si>
    <t>Sector</t>
  </si>
  <si>
    <t>Industry stress</t>
  </si>
  <si>
    <t>Sector-specific</t>
  </si>
  <si>
    <t>Macro sensitive risk</t>
  </si>
  <si>
    <t>Macro overlay</t>
  </si>
  <si>
    <t>stage</t>
  </si>
  <si>
    <t>selected_pd</t>
  </si>
  <si>
    <t>rule</t>
  </si>
  <si>
    <t>Macro Stress Testing Engine</t>
  </si>
  <si>
    <t>Scenario</t>
  </si>
  <si>
    <t>GDP shock pp</t>
  </si>
  <si>
    <t>Policy rate shock pp</t>
  </si>
  <si>
    <t>FX shock %</t>
  </si>
  <si>
    <t>Property price shock %</t>
  </si>
  <si>
    <t>PD multiplier</t>
  </si>
  <si>
    <t>LGD multiplier</t>
  </si>
  <si>
    <t>Base</t>
  </si>
  <si>
    <t>Stressed PD</t>
  </si>
  <si>
    <t>Stressed LGD</t>
  </si>
  <si>
    <t>EAD VND</t>
  </si>
  <si>
    <t>Stressed ECL VND</t>
  </si>
  <si>
    <t>Increase vs Base</t>
  </si>
  <si>
    <t>Early Warning System - Risk Signals</t>
  </si>
  <si>
    <t>rating</t>
  </si>
  <si>
    <t>early_warning_flag</t>
  </si>
  <si>
    <t>key_reason</t>
  </si>
  <si>
    <t>Model Validation Dashboard</t>
  </si>
  <si>
    <t>Validation Area</t>
  </si>
  <si>
    <t>Threshold</t>
  </si>
  <si>
    <t>Owner</t>
  </si>
  <si>
    <t>Discrimination</t>
  </si>
  <si>
    <t>&gt; 0.70</t>
  </si>
  <si>
    <t>Pass</t>
  </si>
  <si>
    <t>Model Risk</t>
  </si>
  <si>
    <t>&gt; 0.40</t>
  </si>
  <si>
    <t>Separation</t>
  </si>
  <si>
    <t>&gt; 0.30</t>
  </si>
  <si>
    <t>Stability</t>
  </si>
  <si>
    <t>&lt; 0.10</t>
  </si>
  <si>
    <t>Model Monitoring</t>
  </si>
  <si>
    <t>Calibration</t>
  </si>
  <si>
    <t>Brier Score</t>
  </si>
  <si>
    <t>Lower is better</t>
  </si>
  <si>
    <t>Monitor</t>
  </si>
  <si>
    <t>Governance</t>
  </si>
  <si>
    <t>Documentation</t>
  </si>
  <si>
    <t>Complete</t>
  </si>
  <si>
    <t>Yes</t>
  </si>
  <si>
    <t>Risk Governance</t>
  </si>
  <si>
    <t>Executive Credit Risk Dashboard</t>
  </si>
  <si>
    <t>Total EAD VND</t>
  </si>
  <si>
    <t>Total ECL VND</t>
  </si>
  <si>
    <t>Weighted Avg PD</t>
  </si>
  <si>
    <t>Weighted Avg LGD</t>
  </si>
  <si>
    <t>Stage 2 Ratio</t>
  </si>
  <si>
    <t>Stage 3 / NPL Ratio</t>
  </si>
  <si>
    <t>Severe Stress ECL Increase</t>
  </si>
  <si>
    <t>Management Action</t>
  </si>
  <si>
    <t>Model Governance Pack</t>
  </si>
  <si>
    <t>Section</t>
  </si>
  <si>
    <t>Content</t>
  </si>
  <si>
    <t>Model objective</t>
  </si>
  <si>
    <t>Estimate portfolio credit risk, IFRS9 ECL, stress impact and management actions.</t>
  </si>
  <si>
    <t>Model owner</t>
  </si>
  <si>
    <t>Credit Risk Analytics and Modelling team.</t>
  </si>
  <si>
    <t>Model type</t>
  </si>
  <si>
    <t>PD / LGD / EAD analytics, IFRS9 ECL engine, early warning, macro stress testing.</t>
  </si>
  <si>
    <t>Data limitation</t>
  </si>
  <si>
    <t>Synthetic data for interview demonstration. Replace with audited bank data for production.</t>
  </si>
  <si>
    <t>Validation</t>
  </si>
  <si>
    <t>AUC, Gini, KS, PSI, calibration, backtesting, override monitoring.</t>
  </si>
  <si>
    <t>Approval workflow</t>
  </si>
  <si>
    <t>Developer -&gt; Validator -&gt; Model Risk Committee -&gt; CRO / Risk Committee.</t>
  </si>
  <si>
    <t>Monitoring frequency</t>
  </si>
  <si>
    <t>Monthly performance monitoring; quarterly recalibration review.</t>
  </si>
  <si>
    <t>Topic</t>
  </si>
  <si>
    <t>URL</t>
  </si>
  <si>
    <t>Use</t>
  </si>
  <si>
    <t>Vietnam GDP growth</t>
  </si>
  <si>
    <t>https://data.worldbank.org/indicator/NY.GDP.MKTP.KD.ZG?locations=VN</t>
  </si>
  <si>
    <t>Historical public macro reference</t>
  </si>
  <si>
    <t>State Bank of Vietnam</t>
  </si>
  <si>
    <t>https://www.sbv.gov.vn</t>
  </si>
  <si>
    <t>Policy rate / banking sector public reference</t>
  </si>
  <si>
    <t>IFRS Foundation IFRS 9</t>
  </si>
  <si>
    <t>https://www.ifrs.org/issued-standards/list-of-standards/ifrs-9-financial-instruments/</t>
  </si>
  <si>
    <t>IFRS9 conceptual reference</t>
  </si>
  <si>
    <t>BIS Basel framework</t>
  </si>
  <si>
    <t>https://www.bis.org/basel_framework/</t>
  </si>
  <si>
    <t>Basel credit risk and model governance reference</t>
  </si>
  <si>
    <t>Loan-level data is synthetic</t>
  </si>
  <si>
    <t>Bank internal loan-level data is not public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</si>
</sst>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;[Red]\(#,##0\);\-"/>
  </numFmts>
  <fonts count="6">
    <font>
      <sz val="11"/>
      <name val="Carlito"/>
    </font>
    <font>
      <b/>
      <sz val="16"/>
      <color rgb="FFFFFFFF"/>
      <name val="Carlito"/>
    </font>
    <font>
      <b/>
      <sz val="11"/>
      <color rgb="FFFFFFFF"/>
      <name val="Carlito"/>
    </font>
    <font>
      <b/>
      <sz val="11"/>
      <name val="Carlito"/>
    </font>
    <font>
      <b/>
      <sz val="14"/>
      <color rgb="FFFFFFFF"/>
      <name val="Carlito"/>
    </font>
    <font>
      <sz val="11"/>
      <color rgb="FF0000FF"/>
      <name val="Carlito"/>
    </font>
  </fonts>
  <fills count="6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3" borderId="0" xfId="0" applyFont="1" applyFill="1" applyAlignment="1">
      <alignment horizontal="center" vertical="center" wrapText="1"/>
    </xf>
    <xf numFmtId="0" fontId="2" fillId="4" borderId="0" xfId="0" applyFont="1" applyFill="1" applyAlignment="1">
      <alignment horizontal="center" vertical="center" wrapText="1"/>
    </xf>
    <xf numFmtId="0" fontId="3" fillId="4" borderId="0" xfId="0" applyFont="1" applyFill="1"/>
    <xf numFmtId="0" fontId="3" fillId="4" borderId="0" xfId="0" applyFont="1" applyFill="1" applyAlignment="1">
      <alignment wrapText="1"/>
    </xf>
    <xf numFmtId="0" fontId="0" fillId="0" borderId="0" xfId="0" applyAlignment="1">
      <alignment wrapText="1"/>
    </xf>
    <xf numFmtId="0" fontId="5" fillId="0" borderId="0" xfId="0" applyFont="1"/>
    <xf numFmtId="2" fontId="5" fillId="0" borderId="0" xfId="0" applyNumberFormat="1" applyFont="1"/>
    <xf numFmtId="3" fontId="5" fillId="0" borderId="0" xfId="0" applyNumberFormat="1" applyFont="1"/>
    <xf numFmtId="0" fontId="3" fillId="5" borderId="0" xfId="0" applyFont="1" applyFill="1" applyAlignment="1">
      <alignment wrapText="1"/>
    </xf>
    <xf numFmtId="164" fontId="2" fillId="3" borderId="0" xfId="0" applyNumberFormat="1" applyFont="1" applyFill="1" applyAlignment="1">
      <alignment horizontal="center" vertical="center" wrapText="1"/>
    </xf>
    <xf numFmtId="10" fontId="2" fillId="3" borderId="0" xfId="0" applyNumberFormat="1" applyFont="1" applyFill="1" applyAlignment="1">
      <alignment horizontal="center" vertical="center" wrapText="1"/>
    </xf>
    <xf numFmtId="2" fontId="0" fillId="0" borderId="0" xfId="0" applyNumberFormat="1"/>
    <xf numFmtId="164" fontId="3" fillId="4" borderId="0" xfId="0" applyNumberFormat="1" applyFont="1" applyFill="1"/>
    <xf numFmtId="10" fontId="3" fillId="4" borderId="0" xfId="0" applyNumberFormat="1" applyFont="1" applyFill="1"/>
    <xf numFmtId="0" fontId="4" fillId="3" borderId="0" xfId="0" applyFont="1" applyFill="1" applyAlignment="1">
      <alignment horizontal="center"/>
    </xf>
    <xf numFmtId="0" fontId="0" fillId="0" borderId="0" xfId="0"/>
    <xf numFmtId="0" fontId="1" fillId="2" borderId="0" xfId="0" applyFont="1" applyFill="1" applyAlignment="1">
      <alignment horizontal="center"/>
    </xf>
    <xf numFmtId="10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v>Stressed ECL</c:v>
          </c:tx>
          <c:invertIfNegative val="1"/>
          <c:cat>
            <c:strRef>
              <c:f>'08_Dashboard'!$A$13:$A$15</c:f>
              <c:strCache>
                <c:ptCount val="3"/>
                <c:pt idx="0">
                  <c:v>Base</c:v>
                </c:pt>
                <c:pt idx="1">
                  <c:v>Mild Stress</c:v>
                </c:pt>
                <c:pt idx="2">
                  <c:v>Severe Stress</c:v>
                </c:pt>
              </c:strCache>
            </c:strRef>
          </c:cat>
          <c:val>
            <c:numRef>
              <c:f>'08_Dashboard'!$D$13:$D$15</c:f>
              <c:numCache>
                <c:formatCode>General</c:formatCode>
                <c:ptCount val="3"/>
                <c:pt idx="0">
                  <c:v>20905527666476.828</c:v>
                </c:pt>
                <c:pt idx="1">
                  <c:v>31044708584718.094</c:v>
                </c:pt>
                <c:pt idx="2">
                  <c:v>51636653336197.773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B49-4302-A706-55AF344F5F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2</xdr:row>
      <xdr:rowOff>0</xdr:rowOff>
    </xdr:from>
    <xdr:to>
      <xdr:col>14</xdr:col>
      <xdr:colOff>0</xdr:colOff>
      <xdr:row>18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MacroInputTable" displayName="MacroInputTable" ref="A3:H9">
  <tableColumns count="8">
    <tableColumn id="1" xr3:uid="{00000000-0010-0000-0000-000001000000}" name="year"/>
    <tableColumn id="2" xr3:uid="{00000000-0010-0000-0000-000002000000}" name="gdp_growth_pct"/>
    <tableColumn id="3" xr3:uid="{00000000-0010-0000-0000-000003000000}" name="inflation_pct"/>
    <tableColumn id="4" xr3:uid="{00000000-0010-0000-0000-000004000000}" name="policy_rate_pct"/>
    <tableColumn id="5" xr3:uid="{00000000-0010-0000-0000-000005000000}" name="usd_vnd"/>
    <tableColumn id="6" xr3:uid="{00000000-0010-0000-0000-000006000000}" name="bond_yield_10y_pct"/>
    <tableColumn id="7" xr3:uid="{00000000-0010-0000-0000-000007000000}" name="credit_growth_pct"/>
    <tableColumn id="8" xr3:uid="{00000000-0010-0000-0000-000008000000}" name="sourc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LoanPortfolioTable" displayName="LoanPortfolioTable" ref="A1:T251">
  <tableColumns count="20">
    <tableColumn id="1" xr3:uid="{00000000-0010-0000-0100-000001000000}" name="loan_id"/>
    <tableColumn id="2" xr3:uid="{00000000-0010-0000-0100-000002000000}" name="segment"/>
    <tableColumn id="3" xr3:uid="{00000000-0010-0000-0100-000003000000}" name="industry"/>
    <tableColumn id="4" xr3:uid="{00000000-0010-0000-0100-000004000000}" name="region"/>
    <tableColumn id="5" xr3:uid="{00000000-0010-0000-0100-000005000000}" name="rating_grade"/>
    <tableColumn id="6" xr3:uid="{00000000-0010-0000-0100-000006000000}" name="outstanding_balance_vnd"/>
    <tableColumn id="7" xr3:uid="{00000000-0010-0000-0100-000007000000}" name="undrawn_commitment_vnd"/>
    <tableColumn id="8" xr3:uid="{00000000-0010-0000-0100-000008000000}" name="collateral_type"/>
    <tableColumn id="9" xr3:uid="{00000000-0010-0000-0100-000009000000}" name="ltv"/>
    <tableColumn id="10" xr3:uid="{00000000-0010-0000-0100-00000A000000}" name="dscr"/>
    <tableColumn id="11" xr3:uid="{00000000-0010-0000-0100-00000B000000}" name="leverage"/>
    <tableColumn id="12" xr3:uid="{00000000-0010-0000-0100-00000C000000}" name="dpd"/>
    <tableColumn id="13" xr3:uid="{00000000-0010-0000-0100-00000D000000}" name="rating_downgrade_notches"/>
    <tableColumn id="14" xr3:uid="{00000000-0010-0000-0100-00000E000000}" name="pd_12m"/>
    <tableColumn id="15" xr3:uid="{00000000-0010-0000-0100-00000F000000}" name="lgd"/>
    <tableColumn id="16" xr3:uid="{00000000-0010-0000-0100-000010000000}" name="ead_vnd"/>
    <tableColumn id="17" xr3:uid="{00000000-0010-0000-0100-000011000000}" name="ifrs9_stage"/>
    <tableColumn id="18" xr3:uid="{00000000-0010-0000-0100-000012000000}" name="lifetime_pd"/>
    <tableColumn id="19" xr3:uid="{00000000-0010-0000-0100-000013000000}" name="ecl_vnd"/>
    <tableColumn id="20" xr3:uid="{00000000-0010-0000-0100-000014000000}" name="default_flag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IFRS9ECLTable" displayName="IFRS9ECLTable" ref="A1:I251">
  <tableColumns count="9">
    <tableColumn id="1" xr3:uid="{00000000-0010-0000-0200-000001000000}" name="loan_id"/>
    <tableColumn id="2" xr3:uid="{00000000-0010-0000-0200-000002000000}" name="stage"/>
    <tableColumn id="3" xr3:uid="{00000000-0010-0000-0200-000003000000}" name="pd_12m"/>
    <tableColumn id="4" xr3:uid="{00000000-0010-0000-0200-000004000000}" name="lifetime_pd"/>
    <tableColumn id="5" xr3:uid="{00000000-0010-0000-0200-000005000000}" name="lgd"/>
    <tableColumn id="6" xr3:uid="{00000000-0010-0000-0200-000006000000}" name="ead_vnd"/>
    <tableColumn id="7" xr3:uid="{00000000-0010-0000-0200-000007000000}" name="selected_pd"/>
    <tableColumn id="8" xr3:uid="{00000000-0010-0000-0200-000008000000}" name="ecl_vnd"/>
    <tableColumn id="9" xr3:uid="{00000000-0010-0000-0200-000009000000}" name="rul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EarlyWarningTable" displayName="EarlyWarningTable" ref="A3:G253">
  <tableColumns count="7">
    <tableColumn id="1" xr3:uid="{00000000-0010-0000-0300-000001000000}" name="loan_id"/>
    <tableColumn id="2" xr3:uid="{00000000-0010-0000-0300-000002000000}" name="rating"/>
    <tableColumn id="3" xr3:uid="{00000000-0010-0000-0300-000003000000}" name="dpd"/>
    <tableColumn id="4" xr3:uid="{00000000-0010-0000-0300-000004000000}" name="dscr"/>
    <tableColumn id="5" xr3:uid="{00000000-0010-0000-0300-000005000000}" name="leverage"/>
    <tableColumn id="6" xr3:uid="{00000000-0010-0000-0300-000006000000}" name="early_warning_flag"/>
    <tableColumn id="7" xr3:uid="{00000000-0010-0000-0300-000007000000}" name="key_reas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"/>
  <sheetViews>
    <sheetView tabSelected="1" workbookViewId="0">
      <selection sqref="A1:H1"/>
    </sheetView>
  </sheetViews>
  <sheetFormatPr defaultRowHeight="14.25"/>
  <cols>
    <col min="1" max="1" width="32" customWidth="1"/>
    <col min="2" max="2" width="95" customWidth="1"/>
  </cols>
  <sheetData>
    <row r="1" spans="1:8" ht="20.25">
      <c r="A1" s="17" t="s">
        <v>0</v>
      </c>
      <c r="B1" s="16"/>
      <c r="C1" s="16"/>
      <c r="D1" s="16"/>
      <c r="E1" s="16"/>
      <c r="F1" s="16"/>
      <c r="G1" s="16"/>
      <c r="H1" s="16"/>
    </row>
    <row r="3" spans="1:8" ht="30">
      <c r="A3" s="2" t="s">
        <v>1</v>
      </c>
      <c r="B3" s="1" t="s">
        <v>2</v>
      </c>
    </row>
    <row r="4" spans="1:8" ht="29.25">
      <c r="A4" s="4" t="s">
        <v>3</v>
      </c>
      <c r="B4" s="5" t="s">
        <v>4</v>
      </c>
    </row>
    <row r="5" spans="1:8" ht="29.25">
      <c r="A5" s="4" t="s">
        <v>5</v>
      </c>
      <c r="B5" s="5" t="s">
        <v>6</v>
      </c>
    </row>
    <row r="6" spans="1:8" ht="29.25">
      <c r="A6" s="4" t="s">
        <v>7</v>
      </c>
      <c r="B6" s="5" t="s">
        <v>8</v>
      </c>
    </row>
    <row r="7" spans="1:8" ht="29.25">
      <c r="A7" s="4" t="s">
        <v>9</v>
      </c>
      <c r="B7" s="5" t="s">
        <v>10</v>
      </c>
    </row>
  </sheetData>
  <mergeCells count="1">
    <mergeCell ref="A1:H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5"/>
  <sheetViews>
    <sheetView workbookViewId="0">
      <selection activeCell="D14" sqref="D14"/>
    </sheetView>
  </sheetViews>
  <sheetFormatPr defaultRowHeight="14.25"/>
  <cols>
    <col min="1" max="8" width="18" customWidth="1"/>
  </cols>
  <sheetData>
    <row r="1" spans="1:8" ht="18">
      <c r="A1" s="15" t="s">
        <v>11</v>
      </c>
      <c r="B1" s="16"/>
      <c r="C1" s="16"/>
      <c r="D1" s="16"/>
      <c r="E1" s="16"/>
      <c r="F1" s="16"/>
      <c r="G1" s="16"/>
      <c r="H1" s="16"/>
    </row>
    <row r="3" spans="1:8" ht="30">
      <c r="A3" s="1" t="s">
        <v>12</v>
      </c>
      <c r="B3" s="1" t="s">
        <v>13</v>
      </c>
      <c r="C3" s="1" t="s">
        <v>14</v>
      </c>
      <c r="D3" s="1" t="s">
        <v>15</v>
      </c>
      <c r="E3" s="1" t="s">
        <v>16</v>
      </c>
      <c r="F3" s="1" t="s">
        <v>17</v>
      </c>
      <c r="G3" s="1" t="s">
        <v>18</v>
      </c>
      <c r="H3" s="1" t="s">
        <v>19</v>
      </c>
    </row>
    <row r="4" spans="1:8">
      <c r="A4" s="6">
        <v>2020</v>
      </c>
      <c r="B4" s="7">
        <v>2.91</v>
      </c>
      <c r="C4" s="7">
        <v>3.23</v>
      </c>
      <c r="D4" s="7">
        <v>4</v>
      </c>
      <c r="E4" s="8">
        <v>23175</v>
      </c>
      <c r="F4" s="7">
        <v>3</v>
      </c>
      <c r="G4" s="7">
        <v>12.1</v>
      </c>
      <c r="H4" t="s">
        <v>20</v>
      </c>
    </row>
    <row r="5" spans="1:8">
      <c r="A5" s="6">
        <v>2021</v>
      </c>
      <c r="B5" s="7">
        <v>2.58</v>
      </c>
      <c r="C5" s="7">
        <v>1.84</v>
      </c>
      <c r="D5" s="7">
        <v>4</v>
      </c>
      <c r="E5" s="8">
        <v>22840</v>
      </c>
      <c r="F5" s="7">
        <v>2.1</v>
      </c>
      <c r="G5" s="7">
        <v>13.5</v>
      </c>
      <c r="H5" t="s">
        <v>20</v>
      </c>
    </row>
    <row r="6" spans="1:8">
      <c r="A6" s="6">
        <v>2022</v>
      </c>
      <c r="B6" s="7">
        <v>8.02</v>
      </c>
      <c r="C6" s="7">
        <v>3.15</v>
      </c>
      <c r="D6" s="7">
        <v>6</v>
      </c>
      <c r="E6" s="8">
        <v>23630</v>
      </c>
      <c r="F6" s="7">
        <v>4.8</v>
      </c>
      <c r="G6" s="7">
        <v>14.5</v>
      </c>
      <c r="H6" t="s">
        <v>20</v>
      </c>
    </row>
    <row r="7" spans="1:8">
      <c r="A7" s="6">
        <v>2023</v>
      </c>
      <c r="B7" s="7">
        <v>5.05</v>
      </c>
      <c r="C7" s="7">
        <v>3.25</v>
      </c>
      <c r="D7" s="7">
        <v>4.5</v>
      </c>
      <c r="E7" s="8">
        <v>24265</v>
      </c>
      <c r="F7" s="7">
        <v>2.9</v>
      </c>
      <c r="G7" s="7">
        <v>13.7</v>
      </c>
      <c r="H7" t="s">
        <v>20</v>
      </c>
    </row>
    <row r="8" spans="1:8">
      <c r="A8" s="6">
        <v>2024</v>
      </c>
      <c r="B8" s="7">
        <v>7.09</v>
      </c>
      <c r="C8" s="7">
        <v>3.63</v>
      </c>
      <c r="D8" s="7">
        <v>4.5</v>
      </c>
      <c r="E8" s="8">
        <v>25300</v>
      </c>
      <c r="F8" s="7">
        <v>2.8</v>
      </c>
      <c r="G8" s="7">
        <v>15.1</v>
      </c>
      <c r="H8" t="s">
        <v>21</v>
      </c>
    </row>
    <row r="9" spans="1:8">
      <c r="A9" s="6">
        <v>2025</v>
      </c>
      <c r="B9" s="7">
        <v>8.02</v>
      </c>
      <c r="C9" s="7">
        <v>3.51</v>
      </c>
      <c r="D9" s="7">
        <v>4.5</v>
      </c>
      <c r="E9" s="8">
        <v>26100</v>
      </c>
      <c r="F9" s="7">
        <v>4.7</v>
      </c>
      <c r="G9" s="7">
        <v>19.010000000000002</v>
      </c>
      <c r="H9" t="s">
        <v>21</v>
      </c>
    </row>
    <row r="11" spans="1:8" ht="29.25">
      <c r="A11" s="9" t="s">
        <v>22</v>
      </c>
      <c r="B11" s="5" t="s">
        <v>23</v>
      </c>
    </row>
    <row r="12" spans="1:8" ht="57.75">
      <c r="A12" s="9" t="s">
        <v>24</v>
      </c>
      <c r="B12" s="5" t="s">
        <v>25</v>
      </c>
    </row>
    <row r="13" spans="1:8" ht="57.75">
      <c r="A13" s="9" t="s">
        <v>26</v>
      </c>
      <c r="B13" s="5" t="s">
        <v>27</v>
      </c>
    </row>
    <row r="14" spans="1:8" ht="72">
      <c r="A14" s="9" t="s">
        <v>28</v>
      </c>
      <c r="B14" s="5" t="s">
        <v>29</v>
      </c>
    </row>
    <row r="15" spans="1:8" ht="86.25">
      <c r="A15" s="9" t="s">
        <v>30</v>
      </c>
      <c r="B15" s="5" t="s">
        <v>31</v>
      </c>
    </row>
  </sheetData>
  <mergeCells count="1">
    <mergeCell ref="A1:H1"/>
  </mergeCell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251"/>
  <sheetViews>
    <sheetView workbookViewId="0"/>
  </sheetViews>
  <sheetFormatPr defaultRowHeight="14.25"/>
  <cols>
    <col min="1" max="20" width="16" customWidth="1"/>
  </cols>
  <sheetData>
    <row r="1" spans="1:20" ht="30">
      <c r="A1" s="1" t="s">
        <v>32</v>
      </c>
      <c r="B1" s="1" t="s">
        <v>33</v>
      </c>
      <c r="C1" s="1" t="s">
        <v>34</v>
      </c>
      <c r="D1" s="1" t="s">
        <v>35</v>
      </c>
      <c r="E1" s="1" t="s">
        <v>36</v>
      </c>
      <c r="F1" s="10" t="s">
        <v>37</v>
      </c>
      <c r="G1" s="10" t="s">
        <v>38</v>
      </c>
      <c r="H1" s="1" t="s">
        <v>39</v>
      </c>
      <c r="I1" s="1" t="s">
        <v>40</v>
      </c>
      <c r="J1" s="1" t="s">
        <v>41</v>
      </c>
      <c r="K1" s="1" t="s">
        <v>42</v>
      </c>
      <c r="L1" s="1" t="s">
        <v>43</v>
      </c>
      <c r="M1" s="1" t="s">
        <v>44</v>
      </c>
      <c r="N1" s="11" t="s">
        <v>45</v>
      </c>
      <c r="O1" s="11" t="s">
        <v>46</v>
      </c>
      <c r="P1" s="10" t="s">
        <v>47</v>
      </c>
      <c r="Q1" s="1" t="s">
        <v>48</v>
      </c>
      <c r="R1" s="11" t="s">
        <v>49</v>
      </c>
      <c r="S1" s="10" t="s">
        <v>50</v>
      </c>
      <c r="T1" s="1" t="s">
        <v>51</v>
      </c>
    </row>
    <row r="2" spans="1:20">
      <c r="A2" t="s">
        <v>52</v>
      </c>
      <c r="B2" t="s">
        <v>53</v>
      </c>
      <c r="C2" t="s">
        <v>54</v>
      </c>
      <c r="D2" t="s">
        <v>55</v>
      </c>
      <c r="E2" t="s">
        <v>56</v>
      </c>
      <c r="F2">
        <v>916000000000</v>
      </c>
      <c r="G2">
        <v>57517534138</v>
      </c>
      <c r="H2" t="s">
        <v>57</v>
      </c>
      <c r="I2">
        <v>1.1128</v>
      </c>
      <c r="J2">
        <v>2.343</v>
      </c>
      <c r="K2">
        <v>1.405</v>
      </c>
      <c r="L2">
        <v>0</v>
      </c>
      <c r="M2">
        <v>0</v>
      </c>
      <c r="N2">
        <v>5.5E-2</v>
      </c>
      <c r="O2">
        <v>0.63947100000000001</v>
      </c>
      <c r="P2">
        <v>959138150603</v>
      </c>
      <c r="Q2">
        <v>1</v>
      </c>
      <c r="R2">
        <v>8.2500000000000004E-2</v>
      </c>
      <c r="S2">
        <v>33733763297</v>
      </c>
      <c r="T2">
        <v>0</v>
      </c>
    </row>
    <row r="3" spans="1:20">
      <c r="A3" t="s">
        <v>58</v>
      </c>
      <c r="B3" t="s">
        <v>59</v>
      </c>
      <c r="C3" t="s">
        <v>60</v>
      </c>
      <c r="D3" t="s">
        <v>61</v>
      </c>
      <c r="E3" t="s">
        <v>62</v>
      </c>
      <c r="F3">
        <v>655000000000</v>
      </c>
      <c r="G3">
        <v>205776586672</v>
      </c>
      <c r="H3" t="s">
        <v>54</v>
      </c>
      <c r="I3">
        <v>0.66759999999999997</v>
      </c>
      <c r="J3">
        <v>1.6279999999999999</v>
      </c>
      <c r="K3">
        <v>3.887</v>
      </c>
      <c r="L3">
        <v>0</v>
      </c>
      <c r="M3">
        <v>0</v>
      </c>
      <c r="N3">
        <v>2.7660000000000001E-2</v>
      </c>
      <c r="O3">
        <v>0.48365999999999998</v>
      </c>
      <c r="P3">
        <v>737310634668</v>
      </c>
      <c r="Q3">
        <v>1</v>
      </c>
      <c r="R3">
        <v>4.1488999999999998E-2</v>
      </c>
      <c r="S3">
        <v>9863587556</v>
      </c>
      <c r="T3">
        <v>0</v>
      </c>
    </row>
    <row r="4" spans="1:20">
      <c r="A4" t="s">
        <v>63</v>
      </c>
      <c r="B4" t="s">
        <v>64</v>
      </c>
      <c r="C4" t="s">
        <v>65</v>
      </c>
      <c r="D4" t="s">
        <v>66</v>
      </c>
      <c r="E4" t="s">
        <v>67</v>
      </c>
      <c r="F4">
        <v>324000000000</v>
      </c>
      <c r="G4">
        <v>80487524039</v>
      </c>
      <c r="H4" t="s">
        <v>68</v>
      </c>
      <c r="I4">
        <v>0.9829</v>
      </c>
      <c r="J4">
        <v>1.1299999999999999</v>
      </c>
      <c r="K4">
        <v>4.3860000000000001</v>
      </c>
      <c r="L4">
        <v>0</v>
      </c>
      <c r="M4">
        <v>0</v>
      </c>
      <c r="N4">
        <v>0.14673</v>
      </c>
      <c r="O4">
        <v>0.59399900000000005</v>
      </c>
      <c r="P4">
        <v>356195009615</v>
      </c>
      <c r="Q4">
        <v>1</v>
      </c>
      <c r="R4">
        <v>0.22009500000000001</v>
      </c>
      <c r="S4">
        <v>31045026780</v>
      </c>
      <c r="T4">
        <v>0</v>
      </c>
    </row>
    <row r="5" spans="1:20">
      <c r="A5" t="s">
        <v>69</v>
      </c>
      <c r="B5" t="s">
        <v>64</v>
      </c>
      <c r="C5" t="s">
        <v>70</v>
      </c>
      <c r="D5" t="s">
        <v>55</v>
      </c>
      <c r="E5" t="s">
        <v>71</v>
      </c>
      <c r="F5">
        <v>668000000000</v>
      </c>
      <c r="G5">
        <v>111276398715</v>
      </c>
      <c r="H5" t="s">
        <v>72</v>
      </c>
      <c r="I5">
        <v>0.79120000000000001</v>
      </c>
      <c r="J5">
        <v>1.909</v>
      </c>
      <c r="K5">
        <v>4.2679999999999998</v>
      </c>
      <c r="L5">
        <v>0</v>
      </c>
      <c r="M5">
        <v>0</v>
      </c>
      <c r="N5">
        <v>1.3826E-2</v>
      </c>
      <c r="O5">
        <v>0.52692700000000003</v>
      </c>
      <c r="P5">
        <v>712510559486</v>
      </c>
      <c r="Q5">
        <v>1</v>
      </c>
      <c r="R5">
        <v>2.0739E-2</v>
      </c>
      <c r="S5">
        <v>5190748109</v>
      </c>
      <c r="T5">
        <v>0</v>
      </c>
    </row>
    <row r="6" spans="1:20">
      <c r="A6" t="s">
        <v>73</v>
      </c>
      <c r="B6" t="s">
        <v>59</v>
      </c>
      <c r="C6" t="s">
        <v>74</v>
      </c>
      <c r="D6" t="s">
        <v>75</v>
      </c>
      <c r="E6" t="s">
        <v>62</v>
      </c>
      <c r="F6">
        <v>231000000000</v>
      </c>
      <c r="G6">
        <v>23809547080</v>
      </c>
      <c r="H6" t="s">
        <v>72</v>
      </c>
      <c r="I6">
        <v>1.0206</v>
      </c>
      <c r="J6">
        <v>1.8959999999999999</v>
      </c>
      <c r="K6">
        <v>3.093</v>
      </c>
      <c r="L6">
        <v>0</v>
      </c>
      <c r="M6">
        <v>0</v>
      </c>
      <c r="N6">
        <v>2.5277999999999998E-2</v>
      </c>
      <c r="O6">
        <v>0.607209</v>
      </c>
      <c r="P6">
        <v>240523818832</v>
      </c>
      <c r="Q6">
        <v>1</v>
      </c>
      <c r="R6">
        <v>3.7918E-2</v>
      </c>
      <c r="S6">
        <v>3691858463</v>
      </c>
      <c r="T6">
        <v>0</v>
      </c>
    </row>
    <row r="7" spans="1:20">
      <c r="A7" t="s">
        <v>76</v>
      </c>
      <c r="B7" t="s">
        <v>53</v>
      </c>
      <c r="C7" t="s">
        <v>77</v>
      </c>
      <c r="D7" t="s">
        <v>75</v>
      </c>
      <c r="E7" t="s">
        <v>62</v>
      </c>
      <c r="F7">
        <v>1078000000000</v>
      </c>
      <c r="G7">
        <v>362376400032</v>
      </c>
      <c r="H7" t="s">
        <v>78</v>
      </c>
      <c r="I7">
        <v>0.70640000000000003</v>
      </c>
      <c r="J7">
        <v>1.1439999999999999</v>
      </c>
      <c r="K7">
        <v>4.0049999999999999</v>
      </c>
      <c r="L7">
        <v>0</v>
      </c>
      <c r="M7">
        <v>0</v>
      </c>
      <c r="N7">
        <v>2.9128999999999999E-2</v>
      </c>
      <c r="O7">
        <v>0.34725200000000001</v>
      </c>
      <c r="P7">
        <v>1349782300024</v>
      </c>
      <c r="Q7">
        <v>1</v>
      </c>
      <c r="R7">
        <v>4.3693000000000003E-2</v>
      </c>
      <c r="S7">
        <v>13652958551</v>
      </c>
      <c r="T7">
        <v>0</v>
      </c>
    </row>
    <row r="8" spans="1:20">
      <c r="A8" t="s">
        <v>79</v>
      </c>
      <c r="B8" t="s">
        <v>64</v>
      </c>
      <c r="C8" t="s">
        <v>80</v>
      </c>
      <c r="D8" t="s">
        <v>81</v>
      </c>
      <c r="E8" t="s">
        <v>56</v>
      </c>
      <c r="F8">
        <v>1565000000000</v>
      </c>
      <c r="G8">
        <v>419654425673</v>
      </c>
      <c r="H8" t="s">
        <v>68</v>
      </c>
      <c r="I8">
        <v>0.70089999999999997</v>
      </c>
      <c r="J8">
        <v>1.883</v>
      </c>
      <c r="K8">
        <v>0.2</v>
      </c>
      <c r="L8">
        <v>35</v>
      </c>
      <c r="M8">
        <v>1</v>
      </c>
      <c r="N8">
        <v>0.10083300000000001</v>
      </c>
      <c r="O8">
        <v>0.49529899999999999</v>
      </c>
      <c r="P8">
        <v>1732861770269</v>
      </c>
      <c r="Q8">
        <v>2</v>
      </c>
      <c r="R8">
        <v>0.30249999999999999</v>
      </c>
      <c r="S8">
        <v>259631118105</v>
      </c>
      <c r="T8">
        <v>0</v>
      </c>
    </row>
    <row r="9" spans="1:20">
      <c r="A9" t="s">
        <v>82</v>
      </c>
      <c r="B9" t="s">
        <v>64</v>
      </c>
      <c r="C9" t="s">
        <v>83</v>
      </c>
      <c r="D9" t="s">
        <v>61</v>
      </c>
      <c r="E9" t="s">
        <v>62</v>
      </c>
      <c r="F9">
        <v>2949000000000</v>
      </c>
      <c r="G9">
        <v>349530439799</v>
      </c>
      <c r="H9" t="s">
        <v>84</v>
      </c>
      <c r="I9">
        <v>0.76070000000000004</v>
      </c>
      <c r="J9">
        <v>1.4550000000000001</v>
      </c>
      <c r="K9">
        <v>3.1970000000000001</v>
      </c>
      <c r="L9">
        <v>0</v>
      </c>
      <c r="M9">
        <v>0</v>
      </c>
      <c r="N9">
        <v>2.5590000000000002E-2</v>
      </c>
      <c r="O9">
        <v>0.71623099999999995</v>
      </c>
      <c r="P9">
        <v>3088812175919</v>
      </c>
      <c r="Q9">
        <v>1</v>
      </c>
      <c r="R9">
        <v>3.8385000000000002E-2</v>
      </c>
      <c r="S9">
        <v>56613467813</v>
      </c>
      <c r="T9">
        <v>0</v>
      </c>
    </row>
    <row r="10" spans="1:20">
      <c r="A10" t="s">
        <v>85</v>
      </c>
      <c r="B10" t="s">
        <v>86</v>
      </c>
      <c r="C10" t="s">
        <v>74</v>
      </c>
      <c r="D10" t="s">
        <v>66</v>
      </c>
      <c r="E10" t="s">
        <v>67</v>
      </c>
      <c r="F10">
        <v>4000000000</v>
      </c>
      <c r="G10">
        <v>1078100252</v>
      </c>
      <c r="H10" t="s">
        <v>78</v>
      </c>
      <c r="I10">
        <v>0.75280000000000002</v>
      </c>
      <c r="J10">
        <v>1.819</v>
      </c>
      <c r="K10">
        <v>0.54900000000000004</v>
      </c>
      <c r="L10">
        <v>0</v>
      </c>
      <c r="M10">
        <v>0</v>
      </c>
      <c r="N10">
        <v>0.12</v>
      </c>
      <c r="O10">
        <v>0.36348999999999998</v>
      </c>
      <c r="P10">
        <v>4808575189</v>
      </c>
      <c r="Q10">
        <v>1</v>
      </c>
      <c r="R10">
        <v>0.18</v>
      </c>
      <c r="S10">
        <v>209744363</v>
      </c>
      <c r="T10">
        <v>0</v>
      </c>
    </row>
    <row r="11" spans="1:20">
      <c r="A11" t="s">
        <v>87</v>
      </c>
      <c r="B11" t="s">
        <v>53</v>
      </c>
      <c r="C11" t="s">
        <v>74</v>
      </c>
      <c r="D11" t="s">
        <v>88</v>
      </c>
      <c r="E11" t="s">
        <v>89</v>
      </c>
      <c r="F11">
        <v>2704000000000</v>
      </c>
      <c r="G11">
        <v>578323597670</v>
      </c>
      <c r="H11" t="s">
        <v>57</v>
      </c>
      <c r="I11">
        <v>0.71130000000000004</v>
      </c>
      <c r="J11">
        <v>1.389</v>
      </c>
      <c r="K11">
        <v>2.8620000000000001</v>
      </c>
      <c r="L11">
        <v>0</v>
      </c>
      <c r="M11">
        <v>0</v>
      </c>
      <c r="N11">
        <v>5.0000000000000001E-3</v>
      </c>
      <c r="O11">
        <v>0.49896800000000002</v>
      </c>
      <c r="P11">
        <v>3137742698252</v>
      </c>
      <c r="Q11">
        <v>1</v>
      </c>
      <c r="R11">
        <v>7.4999999999999997E-3</v>
      </c>
      <c r="S11">
        <v>7828173488</v>
      </c>
      <c r="T11">
        <v>0</v>
      </c>
    </row>
    <row r="12" spans="1:20">
      <c r="A12" t="s">
        <v>90</v>
      </c>
      <c r="B12" t="s">
        <v>64</v>
      </c>
      <c r="C12" t="s">
        <v>91</v>
      </c>
      <c r="D12" t="s">
        <v>81</v>
      </c>
      <c r="E12" t="s">
        <v>62</v>
      </c>
      <c r="F12">
        <v>1851000000000</v>
      </c>
      <c r="G12">
        <v>100790444948</v>
      </c>
      <c r="H12" t="s">
        <v>78</v>
      </c>
      <c r="I12">
        <v>0.87880000000000003</v>
      </c>
      <c r="J12">
        <v>2.2930000000000001</v>
      </c>
      <c r="K12">
        <v>2.339</v>
      </c>
      <c r="L12">
        <v>5</v>
      </c>
      <c r="M12">
        <v>0</v>
      </c>
      <c r="N12">
        <v>2.7082999999999999E-2</v>
      </c>
      <c r="O12">
        <v>0.40756700000000001</v>
      </c>
      <c r="P12">
        <v>1891316177979</v>
      </c>
      <c r="Q12">
        <v>1</v>
      </c>
      <c r="R12">
        <v>4.0625000000000001E-2</v>
      </c>
      <c r="S12">
        <v>20876867296</v>
      </c>
      <c r="T12">
        <v>0</v>
      </c>
    </row>
    <row r="13" spans="1:20">
      <c r="A13" t="s">
        <v>92</v>
      </c>
      <c r="B13" t="s">
        <v>64</v>
      </c>
      <c r="C13" t="s">
        <v>70</v>
      </c>
      <c r="D13" t="s">
        <v>61</v>
      </c>
      <c r="E13" t="s">
        <v>56</v>
      </c>
      <c r="F13">
        <v>2210000000000</v>
      </c>
      <c r="G13">
        <v>131584133557</v>
      </c>
      <c r="H13" t="s">
        <v>57</v>
      </c>
      <c r="I13">
        <v>0.9254</v>
      </c>
      <c r="J13">
        <v>2.4580000000000002</v>
      </c>
      <c r="K13">
        <v>2.4820000000000002</v>
      </c>
      <c r="L13">
        <v>15</v>
      </c>
      <c r="M13">
        <v>0</v>
      </c>
      <c r="N13">
        <v>6.8750000000000006E-2</v>
      </c>
      <c r="O13">
        <v>0.57389500000000004</v>
      </c>
      <c r="P13">
        <v>2262633653422</v>
      </c>
      <c r="Q13">
        <v>1</v>
      </c>
      <c r="R13">
        <v>0.10312499999999999</v>
      </c>
      <c r="S13">
        <v>89272817336</v>
      </c>
      <c r="T13">
        <v>0</v>
      </c>
    </row>
    <row r="14" spans="1:20">
      <c r="A14" t="s">
        <v>93</v>
      </c>
      <c r="B14" t="s">
        <v>53</v>
      </c>
      <c r="C14" t="s">
        <v>65</v>
      </c>
      <c r="D14" t="s">
        <v>75</v>
      </c>
      <c r="E14" t="s">
        <v>62</v>
      </c>
      <c r="F14">
        <v>2760000000000</v>
      </c>
      <c r="G14">
        <v>811591716426</v>
      </c>
      <c r="H14" t="s">
        <v>54</v>
      </c>
      <c r="I14">
        <v>0.60709999999999997</v>
      </c>
      <c r="J14">
        <v>1.645</v>
      </c>
      <c r="K14">
        <v>2.8570000000000002</v>
      </c>
      <c r="L14">
        <v>0</v>
      </c>
      <c r="M14">
        <v>0</v>
      </c>
      <c r="N14">
        <v>2.5000000000000001E-2</v>
      </c>
      <c r="O14">
        <v>0.46247300000000002</v>
      </c>
      <c r="P14">
        <v>3368693787319</v>
      </c>
      <c r="Q14">
        <v>1</v>
      </c>
      <c r="R14">
        <v>3.7499999999999999E-2</v>
      </c>
      <c r="S14">
        <v>38948281998</v>
      </c>
      <c r="T14">
        <v>0</v>
      </c>
    </row>
    <row r="15" spans="1:20">
      <c r="A15" t="s">
        <v>94</v>
      </c>
      <c r="B15" t="s">
        <v>64</v>
      </c>
      <c r="C15" t="s">
        <v>95</v>
      </c>
      <c r="D15" t="s">
        <v>66</v>
      </c>
      <c r="E15" t="s">
        <v>67</v>
      </c>
      <c r="F15">
        <v>403000000000</v>
      </c>
      <c r="G15">
        <v>9174193559</v>
      </c>
      <c r="H15" t="s">
        <v>78</v>
      </c>
      <c r="I15">
        <v>0.93269999999999997</v>
      </c>
      <c r="J15">
        <v>2.8460000000000001</v>
      </c>
      <c r="K15">
        <v>3.1880000000000002</v>
      </c>
      <c r="L15">
        <v>35</v>
      </c>
      <c r="M15">
        <v>0</v>
      </c>
      <c r="N15">
        <v>0.19270699999999999</v>
      </c>
      <c r="O15">
        <v>0.42643900000000001</v>
      </c>
      <c r="P15">
        <v>406669677423</v>
      </c>
      <c r="Q15">
        <v>2</v>
      </c>
      <c r="R15">
        <v>0.578121</v>
      </c>
      <c r="S15">
        <v>100257798276</v>
      </c>
      <c r="T15">
        <v>0</v>
      </c>
    </row>
    <row r="16" spans="1:20">
      <c r="A16" t="s">
        <v>96</v>
      </c>
      <c r="B16" t="s">
        <v>59</v>
      </c>
      <c r="C16" t="s">
        <v>54</v>
      </c>
      <c r="D16" t="s">
        <v>97</v>
      </c>
      <c r="E16" t="s">
        <v>62</v>
      </c>
      <c r="F16">
        <v>1601000000000</v>
      </c>
      <c r="G16">
        <v>191065543260</v>
      </c>
      <c r="H16" t="s">
        <v>54</v>
      </c>
      <c r="I16">
        <v>0.69679999999999997</v>
      </c>
      <c r="J16">
        <v>1.208</v>
      </c>
      <c r="K16">
        <v>0.2</v>
      </c>
      <c r="L16">
        <v>5</v>
      </c>
      <c r="M16">
        <v>0</v>
      </c>
      <c r="N16">
        <v>2.7082999999999999E-2</v>
      </c>
      <c r="O16">
        <v>0.49388500000000002</v>
      </c>
      <c r="P16">
        <v>1677426217304</v>
      </c>
      <c r="Q16">
        <v>1</v>
      </c>
      <c r="R16">
        <v>4.0625000000000001E-2</v>
      </c>
      <c r="S16">
        <v>22437328542</v>
      </c>
      <c r="T16">
        <v>0</v>
      </c>
    </row>
    <row r="17" spans="1:20">
      <c r="A17" t="s">
        <v>98</v>
      </c>
      <c r="B17" t="s">
        <v>53</v>
      </c>
      <c r="C17" t="s">
        <v>54</v>
      </c>
      <c r="D17" t="s">
        <v>55</v>
      </c>
      <c r="E17" t="s">
        <v>56</v>
      </c>
      <c r="F17">
        <v>207000000000</v>
      </c>
      <c r="G17">
        <v>54416142923</v>
      </c>
      <c r="H17" t="s">
        <v>54</v>
      </c>
      <c r="I17">
        <v>0.64270000000000005</v>
      </c>
      <c r="J17">
        <v>0.72399999999999998</v>
      </c>
      <c r="K17">
        <v>3.1509999999999998</v>
      </c>
      <c r="L17">
        <v>0</v>
      </c>
      <c r="M17">
        <v>0</v>
      </c>
      <c r="N17">
        <v>7.6953999999999995E-2</v>
      </c>
      <c r="O17">
        <v>0.47493600000000002</v>
      </c>
      <c r="P17">
        <v>247812107192</v>
      </c>
      <c r="Q17">
        <v>1</v>
      </c>
      <c r="R17">
        <v>0.11543100000000001</v>
      </c>
      <c r="S17">
        <v>9057092553</v>
      </c>
      <c r="T17">
        <v>0</v>
      </c>
    </row>
    <row r="18" spans="1:20">
      <c r="A18" t="s">
        <v>99</v>
      </c>
      <c r="B18" t="s">
        <v>59</v>
      </c>
      <c r="C18" t="s">
        <v>60</v>
      </c>
      <c r="D18" t="s">
        <v>55</v>
      </c>
      <c r="E18" t="s">
        <v>71</v>
      </c>
      <c r="F18">
        <v>164000000000</v>
      </c>
      <c r="G18">
        <v>45710355462</v>
      </c>
      <c r="H18" t="s">
        <v>78</v>
      </c>
      <c r="I18">
        <v>0.61860000000000004</v>
      </c>
      <c r="J18">
        <v>2.1539999999999999</v>
      </c>
      <c r="K18">
        <v>0.2</v>
      </c>
      <c r="L18">
        <v>0</v>
      </c>
      <c r="M18">
        <v>0</v>
      </c>
      <c r="N18">
        <v>1.2E-2</v>
      </c>
      <c r="O18">
        <v>0.31651200000000002</v>
      </c>
      <c r="P18">
        <v>182284142184</v>
      </c>
      <c r="Q18">
        <v>1</v>
      </c>
      <c r="R18">
        <v>1.7999999999999999E-2</v>
      </c>
      <c r="S18">
        <v>692340966</v>
      </c>
      <c r="T18">
        <v>0</v>
      </c>
    </row>
    <row r="19" spans="1:20">
      <c r="A19" t="s">
        <v>100</v>
      </c>
      <c r="B19" t="s">
        <v>59</v>
      </c>
      <c r="C19" t="s">
        <v>95</v>
      </c>
      <c r="D19" t="s">
        <v>55</v>
      </c>
      <c r="E19" t="s">
        <v>62</v>
      </c>
      <c r="F19">
        <v>2308000000000</v>
      </c>
      <c r="G19">
        <v>1034545770742</v>
      </c>
      <c r="H19" t="s">
        <v>78</v>
      </c>
      <c r="I19">
        <v>1.1544000000000001</v>
      </c>
      <c r="J19">
        <v>2.141</v>
      </c>
      <c r="K19">
        <v>3.6309999999999998</v>
      </c>
      <c r="L19">
        <v>35</v>
      </c>
      <c r="M19">
        <v>1</v>
      </c>
      <c r="N19">
        <v>4.7724999999999997E-2</v>
      </c>
      <c r="O19">
        <v>0.50404099999999996</v>
      </c>
      <c r="P19">
        <v>2721818308296</v>
      </c>
      <c r="Q19">
        <v>2</v>
      </c>
      <c r="R19">
        <v>0.143176</v>
      </c>
      <c r="S19">
        <v>196423785083</v>
      </c>
      <c r="T19">
        <v>0</v>
      </c>
    </row>
    <row r="20" spans="1:20">
      <c r="A20" t="s">
        <v>101</v>
      </c>
      <c r="B20" t="s">
        <v>64</v>
      </c>
      <c r="C20" t="s">
        <v>70</v>
      </c>
      <c r="D20" t="s">
        <v>75</v>
      </c>
      <c r="E20" t="s">
        <v>67</v>
      </c>
      <c r="F20">
        <v>2168000000000</v>
      </c>
      <c r="G20">
        <v>7632223337</v>
      </c>
      <c r="H20" t="s">
        <v>84</v>
      </c>
      <c r="I20">
        <v>0.91900000000000004</v>
      </c>
      <c r="J20">
        <v>1.377</v>
      </c>
      <c r="K20">
        <v>1.486</v>
      </c>
      <c r="L20">
        <v>0</v>
      </c>
      <c r="M20">
        <v>0</v>
      </c>
      <c r="N20">
        <v>0.12</v>
      </c>
      <c r="O20">
        <v>0.77166500000000005</v>
      </c>
      <c r="P20">
        <v>2171052889334</v>
      </c>
      <c r="Q20">
        <v>1</v>
      </c>
      <c r="R20">
        <v>0.18</v>
      </c>
      <c r="S20">
        <v>201039156174</v>
      </c>
      <c r="T20">
        <v>0</v>
      </c>
    </row>
    <row r="21" spans="1:20">
      <c r="A21" t="s">
        <v>102</v>
      </c>
      <c r="B21" t="s">
        <v>64</v>
      </c>
      <c r="C21" t="s">
        <v>77</v>
      </c>
      <c r="D21" t="s">
        <v>75</v>
      </c>
      <c r="E21" t="s">
        <v>56</v>
      </c>
      <c r="F21">
        <v>2072000000000</v>
      </c>
      <c r="G21">
        <v>455507098944</v>
      </c>
      <c r="H21" t="s">
        <v>72</v>
      </c>
      <c r="I21">
        <v>0.92400000000000004</v>
      </c>
      <c r="J21">
        <v>2.681</v>
      </c>
      <c r="K21">
        <v>1.6819999999999999</v>
      </c>
      <c r="L21">
        <v>0</v>
      </c>
      <c r="M21">
        <v>0</v>
      </c>
      <c r="N21">
        <v>5.5E-2</v>
      </c>
      <c r="O21">
        <v>0.57340400000000002</v>
      </c>
      <c r="P21">
        <v>2254202839577</v>
      </c>
      <c r="Q21">
        <v>1</v>
      </c>
      <c r="R21">
        <v>8.2500000000000004E-2</v>
      </c>
      <c r="S21">
        <v>71091263240</v>
      </c>
      <c r="T21">
        <v>0</v>
      </c>
    </row>
    <row r="22" spans="1:20">
      <c r="A22" t="s">
        <v>103</v>
      </c>
      <c r="B22" t="s">
        <v>53</v>
      </c>
      <c r="C22" t="s">
        <v>74</v>
      </c>
      <c r="D22" t="s">
        <v>61</v>
      </c>
      <c r="E22" t="s">
        <v>56</v>
      </c>
      <c r="F22">
        <v>41000000000</v>
      </c>
      <c r="G22">
        <v>2064073096</v>
      </c>
      <c r="H22" t="s">
        <v>78</v>
      </c>
      <c r="I22">
        <v>1.1384000000000001</v>
      </c>
      <c r="J22">
        <v>1.5149999999999999</v>
      </c>
      <c r="K22">
        <v>3.4249999999999998</v>
      </c>
      <c r="L22">
        <v>0</v>
      </c>
      <c r="M22">
        <v>0</v>
      </c>
      <c r="N22">
        <v>5.7803E-2</v>
      </c>
      <c r="O22">
        <v>0.49845299999999998</v>
      </c>
      <c r="P22">
        <v>42548054822</v>
      </c>
      <c r="Q22">
        <v>1</v>
      </c>
      <c r="R22">
        <v>8.6705000000000004E-2</v>
      </c>
      <c r="S22">
        <v>1225904647</v>
      </c>
      <c r="T22">
        <v>0</v>
      </c>
    </row>
    <row r="23" spans="1:20">
      <c r="A23" t="s">
        <v>104</v>
      </c>
      <c r="B23" t="s">
        <v>64</v>
      </c>
      <c r="C23" t="s">
        <v>77</v>
      </c>
      <c r="D23" t="s">
        <v>81</v>
      </c>
      <c r="E23" t="s">
        <v>71</v>
      </c>
      <c r="F23">
        <v>2295000000000</v>
      </c>
      <c r="G23">
        <v>913090112923</v>
      </c>
      <c r="H23" t="s">
        <v>72</v>
      </c>
      <c r="I23">
        <v>1.0357000000000001</v>
      </c>
      <c r="J23">
        <v>1.163</v>
      </c>
      <c r="K23">
        <v>4.282</v>
      </c>
      <c r="L23">
        <v>35</v>
      </c>
      <c r="M23">
        <v>3</v>
      </c>
      <c r="N23">
        <v>3.0202E-2</v>
      </c>
      <c r="O23">
        <v>0.61251100000000003</v>
      </c>
      <c r="P23">
        <v>2660236045169</v>
      </c>
      <c r="Q23">
        <v>2</v>
      </c>
      <c r="R23">
        <v>9.0605000000000005E-2</v>
      </c>
      <c r="S23">
        <v>147633270072</v>
      </c>
      <c r="T23">
        <v>0</v>
      </c>
    </row>
    <row r="24" spans="1:20">
      <c r="A24" t="s">
        <v>105</v>
      </c>
      <c r="B24" t="s">
        <v>53</v>
      </c>
      <c r="C24" t="s">
        <v>91</v>
      </c>
      <c r="D24" t="s">
        <v>66</v>
      </c>
      <c r="E24" t="s">
        <v>71</v>
      </c>
      <c r="F24">
        <v>2745000000000</v>
      </c>
      <c r="G24">
        <v>1067335091050</v>
      </c>
      <c r="H24" t="s">
        <v>68</v>
      </c>
      <c r="I24">
        <v>0.90869999999999995</v>
      </c>
      <c r="J24">
        <v>1.3979999999999999</v>
      </c>
      <c r="K24">
        <v>3.3559999999999999</v>
      </c>
      <c r="L24">
        <v>0</v>
      </c>
      <c r="M24">
        <v>1</v>
      </c>
      <c r="N24">
        <v>1.5512E-2</v>
      </c>
      <c r="O24">
        <v>0.56804299999999996</v>
      </c>
      <c r="P24">
        <v>3545501318287</v>
      </c>
      <c r="Q24">
        <v>1</v>
      </c>
      <c r="R24">
        <v>2.3269000000000001E-2</v>
      </c>
      <c r="S24">
        <v>31241860479</v>
      </c>
      <c r="T24">
        <v>0</v>
      </c>
    </row>
    <row r="25" spans="1:20">
      <c r="A25" t="s">
        <v>106</v>
      </c>
      <c r="B25" t="s">
        <v>59</v>
      </c>
      <c r="C25" t="s">
        <v>77</v>
      </c>
      <c r="D25" t="s">
        <v>81</v>
      </c>
      <c r="E25" t="s">
        <v>67</v>
      </c>
      <c r="F25">
        <v>793000000000</v>
      </c>
      <c r="G25">
        <v>142192584450</v>
      </c>
      <c r="H25" t="s">
        <v>84</v>
      </c>
      <c r="I25">
        <v>0.56530000000000002</v>
      </c>
      <c r="J25">
        <v>1.7629999999999999</v>
      </c>
      <c r="K25">
        <v>3.7229999999999999</v>
      </c>
      <c r="L25">
        <v>0</v>
      </c>
      <c r="M25">
        <v>0</v>
      </c>
      <c r="N25">
        <v>0.13040399999999999</v>
      </c>
      <c r="O25">
        <v>0.64786999999999995</v>
      </c>
      <c r="P25">
        <v>849877033780</v>
      </c>
      <c r="Q25">
        <v>1</v>
      </c>
      <c r="R25">
        <v>0.195606</v>
      </c>
      <c r="S25">
        <v>71801858602</v>
      </c>
      <c r="T25">
        <v>0</v>
      </c>
    </row>
    <row r="26" spans="1:20">
      <c r="A26" t="s">
        <v>107</v>
      </c>
      <c r="B26" t="s">
        <v>59</v>
      </c>
      <c r="C26" t="s">
        <v>70</v>
      </c>
      <c r="D26" t="s">
        <v>97</v>
      </c>
      <c r="E26" t="s">
        <v>71</v>
      </c>
      <c r="F26">
        <v>158000000000</v>
      </c>
      <c r="G26">
        <v>7707421106</v>
      </c>
      <c r="H26" t="s">
        <v>72</v>
      </c>
      <c r="I26">
        <v>0.55389999999999995</v>
      </c>
      <c r="J26">
        <v>2.1549999999999998</v>
      </c>
      <c r="K26">
        <v>2.456</v>
      </c>
      <c r="L26">
        <v>0</v>
      </c>
      <c r="M26">
        <v>0</v>
      </c>
      <c r="N26">
        <v>1.2E-2</v>
      </c>
      <c r="O26">
        <v>0.44387700000000002</v>
      </c>
      <c r="P26">
        <v>161082968442</v>
      </c>
      <c r="Q26">
        <v>1</v>
      </c>
      <c r="R26">
        <v>1.7999999999999999E-2</v>
      </c>
      <c r="S26">
        <v>858013045</v>
      </c>
      <c r="T26">
        <v>0</v>
      </c>
    </row>
    <row r="27" spans="1:20">
      <c r="A27" t="s">
        <v>108</v>
      </c>
      <c r="B27" t="s">
        <v>64</v>
      </c>
      <c r="C27" t="s">
        <v>74</v>
      </c>
      <c r="D27" t="s">
        <v>61</v>
      </c>
      <c r="E27" t="s">
        <v>67</v>
      </c>
      <c r="F27">
        <v>2748000000000</v>
      </c>
      <c r="G27">
        <v>243653640647</v>
      </c>
      <c r="H27" t="s">
        <v>84</v>
      </c>
      <c r="I27">
        <v>0.83589999999999998</v>
      </c>
      <c r="J27">
        <v>0.58199999999999996</v>
      </c>
      <c r="K27">
        <v>4.6280000000000001</v>
      </c>
      <c r="L27">
        <v>5</v>
      </c>
      <c r="M27">
        <v>0</v>
      </c>
      <c r="N27">
        <v>0.21279799999999999</v>
      </c>
      <c r="O27">
        <v>0.74254900000000001</v>
      </c>
      <c r="P27">
        <v>2845461456258</v>
      </c>
      <c r="Q27">
        <v>1</v>
      </c>
      <c r="R27">
        <v>0.31919700000000001</v>
      </c>
      <c r="S27">
        <v>449619008077</v>
      </c>
      <c r="T27">
        <v>0</v>
      </c>
    </row>
    <row r="28" spans="1:20">
      <c r="A28" t="s">
        <v>109</v>
      </c>
      <c r="B28" t="s">
        <v>64</v>
      </c>
      <c r="C28" t="s">
        <v>91</v>
      </c>
      <c r="D28" t="s">
        <v>66</v>
      </c>
      <c r="E28" t="s">
        <v>56</v>
      </c>
      <c r="F28">
        <v>2272000000000</v>
      </c>
      <c r="G28">
        <v>130139045758</v>
      </c>
      <c r="H28" t="s">
        <v>72</v>
      </c>
      <c r="I28">
        <v>0.43319999999999997</v>
      </c>
      <c r="J28">
        <v>2.4260000000000002</v>
      </c>
      <c r="K28">
        <v>1.867</v>
      </c>
      <c r="L28">
        <v>0</v>
      </c>
      <c r="M28">
        <v>0</v>
      </c>
      <c r="N28">
        <v>5.5E-2</v>
      </c>
      <c r="O28">
        <v>0.401611</v>
      </c>
      <c r="P28">
        <v>2324055618303</v>
      </c>
      <c r="Q28">
        <v>1</v>
      </c>
      <c r="R28">
        <v>8.2500000000000004E-2</v>
      </c>
      <c r="S28">
        <v>51335178253</v>
      </c>
      <c r="T28">
        <v>0</v>
      </c>
    </row>
    <row r="29" spans="1:20">
      <c r="A29" t="s">
        <v>110</v>
      </c>
      <c r="B29" t="s">
        <v>64</v>
      </c>
      <c r="C29" t="s">
        <v>91</v>
      </c>
      <c r="D29" t="s">
        <v>81</v>
      </c>
      <c r="E29" t="s">
        <v>56</v>
      </c>
      <c r="F29">
        <v>2769000000000</v>
      </c>
      <c r="G29">
        <v>266282630702</v>
      </c>
      <c r="H29" t="s">
        <v>68</v>
      </c>
      <c r="I29">
        <v>0.73770000000000002</v>
      </c>
      <c r="J29">
        <v>0.63300000000000001</v>
      </c>
      <c r="K29">
        <v>3.7050000000000001</v>
      </c>
      <c r="L29">
        <v>0</v>
      </c>
      <c r="M29">
        <v>0</v>
      </c>
      <c r="N29">
        <v>8.4582000000000004E-2</v>
      </c>
      <c r="O29">
        <v>0.50818399999999997</v>
      </c>
      <c r="P29">
        <v>2875513052280</v>
      </c>
      <c r="Q29">
        <v>1</v>
      </c>
      <c r="R29">
        <v>0.12687399999999999</v>
      </c>
      <c r="S29">
        <v>123599433321</v>
      </c>
      <c r="T29">
        <v>0</v>
      </c>
    </row>
    <row r="30" spans="1:20">
      <c r="A30" t="s">
        <v>111</v>
      </c>
      <c r="B30" t="s">
        <v>64</v>
      </c>
      <c r="C30" t="s">
        <v>77</v>
      </c>
      <c r="D30" t="s">
        <v>75</v>
      </c>
      <c r="E30" t="s">
        <v>67</v>
      </c>
      <c r="F30">
        <v>817000000000</v>
      </c>
      <c r="G30">
        <v>54174684219</v>
      </c>
      <c r="H30" t="s">
        <v>57</v>
      </c>
      <c r="I30">
        <v>1.4</v>
      </c>
      <c r="J30">
        <v>2.2530000000000001</v>
      </c>
      <c r="K30">
        <v>1.367</v>
      </c>
      <c r="L30">
        <v>0</v>
      </c>
      <c r="M30">
        <v>1</v>
      </c>
      <c r="N30">
        <v>0.15</v>
      </c>
      <c r="O30">
        <v>0.74</v>
      </c>
      <c r="P30">
        <v>838669873687</v>
      </c>
      <c r="Q30">
        <v>1</v>
      </c>
      <c r="R30">
        <v>0.22500000000000001</v>
      </c>
      <c r="S30">
        <v>93092355979</v>
      </c>
      <c r="T30">
        <v>0</v>
      </c>
    </row>
    <row r="31" spans="1:20">
      <c r="A31" t="s">
        <v>112</v>
      </c>
      <c r="B31" t="s">
        <v>53</v>
      </c>
      <c r="C31" t="s">
        <v>54</v>
      </c>
      <c r="D31" t="s">
        <v>88</v>
      </c>
      <c r="E31" t="s">
        <v>71</v>
      </c>
      <c r="F31">
        <v>1743000000000</v>
      </c>
      <c r="G31">
        <v>171648045658</v>
      </c>
      <c r="H31" t="s">
        <v>54</v>
      </c>
      <c r="I31">
        <v>0.76529999999999998</v>
      </c>
      <c r="J31">
        <v>2.0830000000000002</v>
      </c>
      <c r="K31">
        <v>1.163</v>
      </c>
      <c r="L31">
        <v>65</v>
      </c>
      <c r="M31">
        <v>0</v>
      </c>
      <c r="N31">
        <v>2.5000000000000001E-2</v>
      </c>
      <c r="O31">
        <v>0.51784399999999997</v>
      </c>
      <c r="P31">
        <v>1871736034243</v>
      </c>
      <c r="Q31">
        <v>2</v>
      </c>
      <c r="R31">
        <v>7.4999999999999997E-2</v>
      </c>
      <c r="S31">
        <v>72695073639</v>
      </c>
      <c r="T31">
        <v>0</v>
      </c>
    </row>
    <row r="32" spans="1:20">
      <c r="A32" t="s">
        <v>113</v>
      </c>
      <c r="B32" t="s">
        <v>64</v>
      </c>
      <c r="C32" t="s">
        <v>74</v>
      </c>
      <c r="D32" t="s">
        <v>66</v>
      </c>
      <c r="E32" t="s">
        <v>56</v>
      </c>
      <c r="F32">
        <v>2511000000000</v>
      </c>
      <c r="G32">
        <v>920916602959</v>
      </c>
      <c r="H32" t="s">
        <v>68</v>
      </c>
      <c r="I32">
        <v>1.0143</v>
      </c>
      <c r="J32">
        <v>1.4359999999999999</v>
      </c>
      <c r="K32">
        <v>4.468</v>
      </c>
      <c r="L32">
        <v>0</v>
      </c>
      <c r="M32">
        <v>1</v>
      </c>
      <c r="N32">
        <v>7.8439999999999996E-2</v>
      </c>
      <c r="O32">
        <v>0.60499000000000003</v>
      </c>
      <c r="P32">
        <v>2879366641183</v>
      </c>
      <c r="Q32">
        <v>1</v>
      </c>
      <c r="R32">
        <v>0.11766</v>
      </c>
      <c r="S32">
        <v>136641365687</v>
      </c>
      <c r="T32">
        <v>0</v>
      </c>
    </row>
    <row r="33" spans="1:20">
      <c r="A33" t="s">
        <v>114</v>
      </c>
      <c r="B33" t="s">
        <v>64</v>
      </c>
      <c r="C33" t="s">
        <v>65</v>
      </c>
      <c r="D33" t="s">
        <v>81</v>
      </c>
      <c r="E33" t="s">
        <v>67</v>
      </c>
      <c r="F33">
        <v>1803000000000</v>
      </c>
      <c r="G33">
        <v>62866119158</v>
      </c>
      <c r="H33" t="s">
        <v>72</v>
      </c>
      <c r="I33">
        <v>1.1846000000000001</v>
      </c>
      <c r="J33">
        <v>1.7030000000000001</v>
      </c>
      <c r="K33">
        <v>4.2869999999999999</v>
      </c>
      <c r="L33">
        <v>0</v>
      </c>
      <c r="M33">
        <v>0</v>
      </c>
      <c r="N33">
        <v>0.13853099999999999</v>
      </c>
      <c r="O33">
        <v>0.66462299999999996</v>
      </c>
      <c r="P33">
        <v>1828146447663</v>
      </c>
      <c r="Q33">
        <v>1</v>
      </c>
      <c r="R33">
        <v>0.20779700000000001</v>
      </c>
      <c r="S33">
        <v>168319197479</v>
      </c>
      <c r="T33">
        <v>0</v>
      </c>
    </row>
    <row r="34" spans="1:20">
      <c r="A34" t="s">
        <v>115</v>
      </c>
      <c r="B34" t="s">
        <v>64</v>
      </c>
      <c r="C34" t="s">
        <v>91</v>
      </c>
      <c r="D34" t="s">
        <v>66</v>
      </c>
      <c r="E34" t="s">
        <v>62</v>
      </c>
      <c r="F34">
        <v>257000000000</v>
      </c>
      <c r="G34">
        <v>23920397147</v>
      </c>
      <c r="H34" t="s">
        <v>68</v>
      </c>
      <c r="I34">
        <v>0.46970000000000001</v>
      </c>
      <c r="J34">
        <v>2.3740000000000001</v>
      </c>
      <c r="K34">
        <v>1.335</v>
      </c>
      <c r="L34">
        <v>0</v>
      </c>
      <c r="M34">
        <v>0</v>
      </c>
      <c r="N34">
        <v>2.5000000000000001E-2</v>
      </c>
      <c r="O34">
        <v>0.41438700000000001</v>
      </c>
      <c r="P34">
        <v>266568158858</v>
      </c>
      <c r="Q34">
        <v>1</v>
      </c>
      <c r="R34">
        <v>3.7499999999999999E-2</v>
      </c>
      <c r="S34">
        <v>2761561541</v>
      </c>
      <c r="T34">
        <v>0</v>
      </c>
    </row>
    <row r="35" spans="1:20">
      <c r="A35" t="s">
        <v>116</v>
      </c>
      <c r="B35" t="s">
        <v>64</v>
      </c>
      <c r="C35" t="s">
        <v>80</v>
      </c>
      <c r="D35" t="s">
        <v>66</v>
      </c>
      <c r="E35" t="s">
        <v>67</v>
      </c>
      <c r="F35">
        <v>2238000000000</v>
      </c>
      <c r="G35">
        <v>805547234954</v>
      </c>
      <c r="H35" t="s">
        <v>84</v>
      </c>
      <c r="I35">
        <v>0.58309999999999995</v>
      </c>
      <c r="J35">
        <v>2.31</v>
      </c>
      <c r="K35">
        <v>2.23</v>
      </c>
      <c r="L35">
        <v>0</v>
      </c>
      <c r="M35">
        <v>0</v>
      </c>
      <c r="N35">
        <v>0.12</v>
      </c>
      <c r="O35">
        <v>0.65408699999999997</v>
      </c>
      <c r="P35">
        <v>2560218893981</v>
      </c>
      <c r="Q35">
        <v>1</v>
      </c>
      <c r="R35">
        <v>0.18</v>
      </c>
      <c r="S35">
        <v>200952722379</v>
      </c>
      <c r="T35">
        <v>0</v>
      </c>
    </row>
    <row r="36" spans="1:20">
      <c r="A36" t="s">
        <v>117</v>
      </c>
      <c r="B36" t="s">
        <v>86</v>
      </c>
      <c r="C36" t="s">
        <v>83</v>
      </c>
      <c r="D36" t="s">
        <v>66</v>
      </c>
      <c r="E36" t="s">
        <v>62</v>
      </c>
      <c r="F36">
        <v>112000000000</v>
      </c>
      <c r="G36">
        <v>45709214674</v>
      </c>
      <c r="H36" t="s">
        <v>78</v>
      </c>
      <c r="I36">
        <v>0.6028</v>
      </c>
      <c r="J36">
        <v>1.357</v>
      </c>
      <c r="K36">
        <v>4.4800000000000004</v>
      </c>
      <c r="L36">
        <v>0</v>
      </c>
      <c r="M36">
        <v>0</v>
      </c>
      <c r="N36">
        <v>2.9440000000000001E-2</v>
      </c>
      <c r="O36">
        <v>0.31099300000000002</v>
      </c>
      <c r="P36">
        <v>146281911005</v>
      </c>
      <c r="Q36">
        <v>1</v>
      </c>
      <c r="R36">
        <v>4.4159999999999998E-2</v>
      </c>
      <c r="S36">
        <v>1339288836</v>
      </c>
      <c r="T36">
        <v>0</v>
      </c>
    </row>
    <row r="37" spans="1:20">
      <c r="A37" t="s">
        <v>118</v>
      </c>
      <c r="B37" t="s">
        <v>53</v>
      </c>
      <c r="C37" t="s">
        <v>70</v>
      </c>
      <c r="D37" t="s">
        <v>66</v>
      </c>
      <c r="E37" t="s">
        <v>67</v>
      </c>
      <c r="F37">
        <v>1035000000000</v>
      </c>
      <c r="G37">
        <v>388859758620</v>
      </c>
      <c r="H37" t="s">
        <v>68</v>
      </c>
      <c r="I37">
        <v>0.75600000000000001</v>
      </c>
      <c r="J37">
        <v>0.90100000000000002</v>
      </c>
      <c r="K37">
        <v>3.6320000000000001</v>
      </c>
      <c r="L37">
        <v>0</v>
      </c>
      <c r="M37">
        <v>0</v>
      </c>
      <c r="N37">
        <v>0.15776799999999999</v>
      </c>
      <c r="O37">
        <v>0.51458800000000005</v>
      </c>
      <c r="P37">
        <v>1326644818965</v>
      </c>
      <c r="Q37">
        <v>1</v>
      </c>
      <c r="R37">
        <v>0.236653</v>
      </c>
      <c r="S37">
        <v>107704612525</v>
      </c>
      <c r="T37">
        <v>0</v>
      </c>
    </row>
    <row r="38" spans="1:20">
      <c r="A38" t="s">
        <v>119</v>
      </c>
      <c r="B38" t="s">
        <v>59</v>
      </c>
      <c r="C38" t="s">
        <v>77</v>
      </c>
      <c r="D38" t="s">
        <v>66</v>
      </c>
      <c r="E38" t="s">
        <v>89</v>
      </c>
      <c r="F38">
        <v>2546000000000</v>
      </c>
      <c r="G38">
        <v>174584453565</v>
      </c>
      <c r="H38" t="s">
        <v>54</v>
      </c>
      <c r="I38">
        <v>0.85880000000000001</v>
      </c>
      <c r="J38">
        <v>2.383</v>
      </c>
      <c r="K38">
        <v>2.2970000000000002</v>
      </c>
      <c r="L38">
        <v>0</v>
      </c>
      <c r="M38">
        <v>0</v>
      </c>
      <c r="N38">
        <v>5.0000000000000001E-3</v>
      </c>
      <c r="O38">
        <v>0.55058300000000004</v>
      </c>
      <c r="P38">
        <v>2615833781426</v>
      </c>
      <c r="Q38">
        <v>1</v>
      </c>
      <c r="R38">
        <v>7.4999999999999997E-3</v>
      </c>
      <c r="S38">
        <v>7201174177</v>
      </c>
      <c r="T38">
        <v>0</v>
      </c>
    </row>
    <row r="39" spans="1:20">
      <c r="A39" t="s">
        <v>120</v>
      </c>
      <c r="B39" t="s">
        <v>59</v>
      </c>
      <c r="C39" t="s">
        <v>70</v>
      </c>
      <c r="D39" t="s">
        <v>66</v>
      </c>
      <c r="E39" t="s">
        <v>67</v>
      </c>
      <c r="F39">
        <v>1279000000000</v>
      </c>
      <c r="G39">
        <v>331399807037</v>
      </c>
      <c r="H39" t="s">
        <v>54</v>
      </c>
      <c r="I39">
        <v>0.32569999999999999</v>
      </c>
      <c r="J39">
        <v>2.2469999999999999</v>
      </c>
      <c r="K39">
        <v>2.4580000000000002</v>
      </c>
      <c r="L39">
        <v>0</v>
      </c>
      <c r="M39">
        <v>1</v>
      </c>
      <c r="N39">
        <v>0.15</v>
      </c>
      <c r="O39">
        <v>0.364008</v>
      </c>
      <c r="P39">
        <v>1411559922814</v>
      </c>
      <c r="Q39">
        <v>1</v>
      </c>
      <c r="R39">
        <v>0.22500000000000001</v>
      </c>
      <c r="S39">
        <v>77072898412</v>
      </c>
      <c r="T39">
        <v>0</v>
      </c>
    </row>
    <row r="40" spans="1:20">
      <c r="A40" t="s">
        <v>121</v>
      </c>
      <c r="B40" t="s">
        <v>53</v>
      </c>
      <c r="C40" t="s">
        <v>95</v>
      </c>
      <c r="D40" t="s">
        <v>88</v>
      </c>
      <c r="E40" t="s">
        <v>56</v>
      </c>
      <c r="F40">
        <v>170000000000</v>
      </c>
      <c r="G40">
        <v>26561088046</v>
      </c>
      <c r="H40" t="s">
        <v>78</v>
      </c>
      <c r="I40">
        <v>0.67669999999999997</v>
      </c>
      <c r="J40">
        <v>2.0299999999999998</v>
      </c>
      <c r="K40">
        <v>1.9219999999999999</v>
      </c>
      <c r="L40">
        <v>0</v>
      </c>
      <c r="M40">
        <v>2</v>
      </c>
      <c r="N40">
        <v>8.2500000000000004E-2</v>
      </c>
      <c r="O40">
        <v>0.33684999999999998</v>
      </c>
      <c r="P40">
        <v>189920816034</v>
      </c>
      <c r="Q40">
        <v>2</v>
      </c>
      <c r="R40">
        <v>0.2475</v>
      </c>
      <c r="S40">
        <v>15833764677</v>
      </c>
      <c r="T40">
        <v>0</v>
      </c>
    </row>
    <row r="41" spans="1:20">
      <c r="A41" t="s">
        <v>122</v>
      </c>
      <c r="B41" t="s">
        <v>53</v>
      </c>
      <c r="C41" t="s">
        <v>83</v>
      </c>
      <c r="D41" t="s">
        <v>61</v>
      </c>
      <c r="E41" t="s">
        <v>71</v>
      </c>
      <c r="F41">
        <v>1108000000000</v>
      </c>
      <c r="G41">
        <v>307093899731</v>
      </c>
      <c r="H41" t="s">
        <v>84</v>
      </c>
      <c r="I41">
        <v>0.54859999999999998</v>
      </c>
      <c r="J41">
        <v>2.6309999999999998</v>
      </c>
      <c r="K41">
        <v>2.0310000000000001</v>
      </c>
      <c r="L41">
        <v>0</v>
      </c>
      <c r="M41">
        <v>0</v>
      </c>
      <c r="N41">
        <v>1.2E-2</v>
      </c>
      <c r="O41">
        <v>0.64202199999999998</v>
      </c>
      <c r="P41">
        <v>1338320424798</v>
      </c>
      <c r="Q41">
        <v>1</v>
      </c>
      <c r="R41">
        <v>1.7999999999999999E-2</v>
      </c>
      <c r="S41">
        <v>10310779296</v>
      </c>
      <c r="T41">
        <v>0</v>
      </c>
    </row>
    <row r="42" spans="1:20">
      <c r="A42" t="s">
        <v>123</v>
      </c>
      <c r="B42" t="s">
        <v>53</v>
      </c>
      <c r="C42" t="s">
        <v>77</v>
      </c>
      <c r="D42" t="s">
        <v>81</v>
      </c>
      <c r="E42" t="s">
        <v>67</v>
      </c>
      <c r="F42">
        <v>2501000000000</v>
      </c>
      <c r="G42">
        <v>752012714062</v>
      </c>
      <c r="H42" t="s">
        <v>78</v>
      </c>
      <c r="I42">
        <v>0.72940000000000005</v>
      </c>
      <c r="J42">
        <v>2.35</v>
      </c>
      <c r="K42">
        <v>2.4649999999999999</v>
      </c>
      <c r="L42">
        <v>0</v>
      </c>
      <c r="M42">
        <v>0</v>
      </c>
      <c r="N42">
        <v>0.12</v>
      </c>
      <c r="O42">
        <v>0.35527399999999998</v>
      </c>
      <c r="P42">
        <v>3065009535546</v>
      </c>
      <c r="Q42">
        <v>1</v>
      </c>
      <c r="R42">
        <v>0.18</v>
      </c>
      <c r="S42">
        <v>130670086299</v>
      </c>
      <c r="T42">
        <v>0</v>
      </c>
    </row>
    <row r="43" spans="1:20">
      <c r="A43" t="s">
        <v>124</v>
      </c>
      <c r="B43" t="s">
        <v>59</v>
      </c>
      <c r="C43" t="s">
        <v>77</v>
      </c>
      <c r="D43" t="s">
        <v>61</v>
      </c>
      <c r="E43" t="s">
        <v>56</v>
      </c>
      <c r="F43">
        <v>1666000000000</v>
      </c>
      <c r="G43">
        <v>366286811782</v>
      </c>
      <c r="H43" t="s">
        <v>84</v>
      </c>
      <c r="I43">
        <v>0.97230000000000005</v>
      </c>
      <c r="J43">
        <v>1.843</v>
      </c>
      <c r="K43">
        <v>1.0580000000000001</v>
      </c>
      <c r="L43">
        <v>15</v>
      </c>
      <c r="M43">
        <v>0</v>
      </c>
      <c r="N43">
        <v>6.8750000000000006E-2</v>
      </c>
      <c r="O43">
        <v>0.7903</v>
      </c>
      <c r="P43">
        <v>1812514724712</v>
      </c>
      <c r="Q43">
        <v>1</v>
      </c>
      <c r="R43">
        <v>0.10312499999999999</v>
      </c>
      <c r="S43">
        <v>98479599571</v>
      </c>
      <c r="T43">
        <v>0</v>
      </c>
    </row>
    <row r="44" spans="1:20">
      <c r="A44" t="s">
        <v>125</v>
      </c>
      <c r="B44" t="s">
        <v>64</v>
      </c>
      <c r="C44" t="s">
        <v>91</v>
      </c>
      <c r="D44" t="s">
        <v>75</v>
      </c>
      <c r="E44" t="s">
        <v>56</v>
      </c>
      <c r="F44">
        <v>1410000000000</v>
      </c>
      <c r="G44">
        <v>269982169161</v>
      </c>
      <c r="H44" t="s">
        <v>78</v>
      </c>
      <c r="I44">
        <v>0.84540000000000004</v>
      </c>
      <c r="J44">
        <v>1.3069999999999999</v>
      </c>
      <c r="K44">
        <v>2.875</v>
      </c>
      <c r="L44">
        <v>0</v>
      </c>
      <c r="M44">
        <v>0</v>
      </c>
      <c r="N44">
        <v>5.5E-2</v>
      </c>
      <c r="O44">
        <v>0.39589800000000003</v>
      </c>
      <c r="P44">
        <v>1517992867664</v>
      </c>
      <c r="Q44">
        <v>1</v>
      </c>
      <c r="R44">
        <v>8.2500000000000004E-2</v>
      </c>
      <c r="S44">
        <v>33053360712</v>
      </c>
      <c r="T44">
        <v>0</v>
      </c>
    </row>
    <row r="45" spans="1:20">
      <c r="A45" t="s">
        <v>126</v>
      </c>
      <c r="B45" t="s">
        <v>59</v>
      </c>
      <c r="C45" t="s">
        <v>65</v>
      </c>
      <c r="D45" t="s">
        <v>81</v>
      </c>
      <c r="E45" t="s">
        <v>71</v>
      </c>
      <c r="F45">
        <v>2150000000000</v>
      </c>
      <c r="G45">
        <v>577395041445</v>
      </c>
      <c r="H45" t="s">
        <v>78</v>
      </c>
      <c r="I45">
        <v>0.95140000000000002</v>
      </c>
      <c r="J45">
        <v>2.8319999999999999</v>
      </c>
      <c r="K45">
        <v>2.8769999999999998</v>
      </c>
      <c r="L45">
        <v>0</v>
      </c>
      <c r="M45">
        <v>1</v>
      </c>
      <c r="N45">
        <v>1.4999999999999999E-2</v>
      </c>
      <c r="O45">
        <v>0.43299599999999999</v>
      </c>
      <c r="P45">
        <v>2380958016578</v>
      </c>
      <c r="Q45">
        <v>1</v>
      </c>
      <c r="R45">
        <v>2.2499999999999999E-2</v>
      </c>
      <c r="S45">
        <v>15464184444</v>
      </c>
      <c r="T45">
        <v>0</v>
      </c>
    </row>
    <row r="46" spans="1:20">
      <c r="A46" t="s">
        <v>127</v>
      </c>
      <c r="B46" t="s">
        <v>64</v>
      </c>
      <c r="C46" t="s">
        <v>83</v>
      </c>
      <c r="D46" t="s">
        <v>97</v>
      </c>
      <c r="E46" t="s">
        <v>56</v>
      </c>
      <c r="F46">
        <v>422000000000</v>
      </c>
      <c r="G46">
        <v>165729477676</v>
      </c>
      <c r="H46" t="s">
        <v>68</v>
      </c>
      <c r="I46">
        <v>0.64880000000000004</v>
      </c>
      <c r="J46">
        <v>1.522</v>
      </c>
      <c r="K46">
        <v>2.3679999999999999</v>
      </c>
      <c r="L46">
        <v>0</v>
      </c>
      <c r="M46">
        <v>1</v>
      </c>
      <c r="N46">
        <v>6.8750000000000006E-2</v>
      </c>
      <c r="O46">
        <v>0.47707300000000002</v>
      </c>
      <c r="P46">
        <v>488291791070</v>
      </c>
      <c r="Q46">
        <v>1</v>
      </c>
      <c r="R46">
        <v>0.10312499999999999</v>
      </c>
      <c r="S46">
        <v>16015356987</v>
      </c>
      <c r="T46">
        <v>0</v>
      </c>
    </row>
    <row r="47" spans="1:20">
      <c r="A47" t="s">
        <v>128</v>
      </c>
      <c r="B47" t="s">
        <v>59</v>
      </c>
      <c r="C47" t="s">
        <v>54</v>
      </c>
      <c r="D47" t="s">
        <v>61</v>
      </c>
      <c r="E47" t="s">
        <v>56</v>
      </c>
      <c r="F47">
        <v>1246000000000</v>
      </c>
      <c r="G47">
        <v>47760935337</v>
      </c>
      <c r="H47" t="s">
        <v>78</v>
      </c>
      <c r="I47">
        <v>1.0009999999999999</v>
      </c>
      <c r="J47">
        <v>1.8080000000000001</v>
      </c>
      <c r="K47">
        <v>4.9889999999999999</v>
      </c>
      <c r="L47">
        <v>0</v>
      </c>
      <c r="M47">
        <v>1</v>
      </c>
      <c r="N47">
        <v>8.1878000000000006E-2</v>
      </c>
      <c r="O47">
        <v>0.45034200000000002</v>
      </c>
      <c r="P47">
        <v>1265104374134</v>
      </c>
      <c r="Q47">
        <v>1</v>
      </c>
      <c r="R47">
        <v>0.122817</v>
      </c>
      <c r="S47">
        <v>46648215083</v>
      </c>
      <c r="T47">
        <v>0</v>
      </c>
    </row>
    <row r="48" spans="1:20">
      <c r="A48" t="s">
        <v>129</v>
      </c>
      <c r="B48" t="s">
        <v>59</v>
      </c>
      <c r="C48" t="s">
        <v>80</v>
      </c>
      <c r="D48" t="s">
        <v>88</v>
      </c>
      <c r="E48" t="s">
        <v>67</v>
      </c>
      <c r="F48">
        <v>248000000000</v>
      </c>
      <c r="G48">
        <v>68034809806</v>
      </c>
      <c r="H48" t="s">
        <v>78</v>
      </c>
      <c r="I48">
        <v>0.81979999999999997</v>
      </c>
      <c r="J48">
        <v>0.46700000000000003</v>
      </c>
      <c r="K48">
        <v>3.4529999999999998</v>
      </c>
      <c r="L48">
        <v>0</v>
      </c>
      <c r="M48">
        <v>0</v>
      </c>
      <c r="N48">
        <v>0.19689200000000001</v>
      </c>
      <c r="O48">
        <v>0.38692100000000001</v>
      </c>
      <c r="P48">
        <v>275213923922</v>
      </c>
      <c r="Q48">
        <v>1</v>
      </c>
      <c r="R48">
        <v>0.29533700000000002</v>
      </c>
      <c r="S48">
        <v>20966224024</v>
      </c>
      <c r="T48">
        <v>1</v>
      </c>
    </row>
    <row r="49" spans="1:20">
      <c r="A49" t="s">
        <v>130</v>
      </c>
      <c r="B49" t="s">
        <v>59</v>
      </c>
      <c r="C49" t="s">
        <v>70</v>
      </c>
      <c r="D49" t="s">
        <v>55</v>
      </c>
      <c r="E49" t="s">
        <v>56</v>
      </c>
      <c r="F49">
        <v>2897000000000</v>
      </c>
      <c r="G49">
        <v>368565807107</v>
      </c>
      <c r="H49" t="s">
        <v>72</v>
      </c>
      <c r="I49">
        <v>0.75109999999999999</v>
      </c>
      <c r="J49">
        <v>1.9339999999999999</v>
      </c>
      <c r="K49">
        <v>2.7850000000000001</v>
      </c>
      <c r="L49">
        <v>15</v>
      </c>
      <c r="M49">
        <v>0</v>
      </c>
      <c r="N49">
        <v>6.8750000000000006E-2</v>
      </c>
      <c r="O49">
        <v>0.51289200000000001</v>
      </c>
      <c r="P49">
        <v>3044426322842</v>
      </c>
      <c r="Q49">
        <v>1</v>
      </c>
      <c r="R49">
        <v>0.10312499999999999</v>
      </c>
      <c r="S49">
        <v>107350471293</v>
      </c>
      <c r="T49">
        <v>0</v>
      </c>
    </row>
    <row r="50" spans="1:20">
      <c r="A50" t="s">
        <v>131</v>
      </c>
      <c r="B50" t="s">
        <v>64</v>
      </c>
      <c r="C50" t="s">
        <v>77</v>
      </c>
      <c r="D50" t="s">
        <v>97</v>
      </c>
      <c r="E50" t="s">
        <v>71</v>
      </c>
      <c r="F50">
        <v>584000000000</v>
      </c>
      <c r="G50">
        <v>18766505125</v>
      </c>
      <c r="H50" t="s">
        <v>72</v>
      </c>
      <c r="I50">
        <v>0.93640000000000001</v>
      </c>
      <c r="J50">
        <v>2.2069999999999999</v>
      </c>
      <c r="K50">
        <v>3.1880000000000002</v>
      </c>
      <c r="L50">
        <v>5</v>
      </c>
      <c r="M50">
        <v>0</v>
      </c>
      <c r="N50">
        <v>1.3271E-2</v>
      </c>
      <c r="O50">
        <v>0.57775299999999996</v>
      </c>
      <c r="P50">
        <v>591506602050</v>
      </c>
      <c r="Q50">
        <v>1</v>
      </c>
      <c r="R50">
        <v>1.9906E-2</v>
      </c>
      <c r="S50">
        <v>4535250719</v>
      </c>
      <c r="T50">
        <v>0</v>
      </c>
    </row>
    <row r="51" spans="1:20">
      <c r="A51" t="s">
        <v>132</v>
      </c>
      <c r="B51" t="s">
        <v>64</v>
      </c>
      <c r="C51" t="s">
        <v>95</v>
      </c>
      <c r="D51" t="s">
        <v>97</v>
      </c>
      <c r="E51" t="s">
        <v>62</v>
      </c>
      <c r="F51">
        <v>1322000000000</v>
      </c>
      <c r="G51">
        <v>359149244998</v>
      </c>
      <c r="H51" t="s">
        <v>68</v>
      </c>
      <c r="I51">
        <v>0.95009999999999994</v>
      </c>
      <c r="J51">
        <v>2.1909999999999998</v>
      </c>
      <c r="K51">
        <v>3.363</v>
      </c>
      <c r="L51">
        <v>0</v>
      </c>
      <c r="M51">
        <v>0</v>
      </c>
      <c r="N51">
        <v>2.6089999999999999E-2</v>
      </c>
      <c r="O51">
        <v>0.58251799999999998</v>
      </c>
      <c r="P51">
        <v>1465659697999</v>
      </c>
      <c r="Q51">
        <v>1</v>
      </c>
      <c r="R51">
        <v>3.9135000000000003E-2</v>
      </c>
      <c r="S51">
        <v>22274953742</v>
      </c>
      <c r="T51">
        <v>0</v>
      </c>
    </row>
    <row r="52" spans="1:20">
      <c r="A52" t="s">
        <v>133</v>
      </c>
      <c r="B52" t="s">
        <v>64</v>
      </c>
      <c r="C52" t="s">
        <v>83</v>
      </c>
      <c r="D52" t="s">
        <v>55</v>
      </c>
      <c r="E52" t="s">
        <v>89</v>
      </c>
      <c r="F52">
        <v>1813000000000</v>
      </c>
      <c r="G52">
        <v>747377984030</v>
      </c>
      <c r="H52" t="s">
        <v>84</v>
      </c>
      <c r="I52">
        <v>0.9607</v>
      </c>
      <c r="J52">
        <v>2.4630000000000001</v>
      </c>
      <c r="K52">
        <v>2.121</v>
      </c>
      <c r="L52">
        <v>0</v>
      </c>
      <c r="M52">
        <v>0</v>
      </c>
      <c r="N52">
        <v>5.0000000000000001E-3</v>
      </c>
      <c r="O52">
        <v>0.78625800000000001</v>
      </c>
      <c r="P52">
        <v>2111951193612</v>
      </c>
      <c r="Q52">
        <v>1</v>
      </c>
      <c r="R52">
        <v>7.4999999999999997E-3</v>
      </c>
      <c r="S52">
        <v>8302695261</v>
      </c>
      <c r="T52">
        <v>0</v>
      </c>
    </row>
    <row r="53" spans="1:20">
      <c r="A53" t="s">
        <v>134</v>
      </c>
      <c r="B53" t="s">
        <v>64</v>
      </c>
      <c r="C53" t="s">
        <v>70</v>
      </c>
      <c r="D53" t="s">
        <v>55</v>
      </c>
      <c r="E53" t="s">
        <v>56</v>
      </c>
      <c r="F53">
        <v>2255000000000</v>
      </c>
      <c r="G53">
        <v>37238412985</v>
      </c>
      <c r="H53" t="s">
        <v>68</v>
      </c>
      <c r="I53">
        <v>0.95030000000000003</v>
      </c>
      <c r="J53">
        <v>2.157</v>
      </c>
      <c r="K53">
        <v>3.7610000000000001</v>
      </c>
      <c r="L53">
        <v>35</v>
      </c>
      <c r="M53">
        <v>1</v>
      </c>
      <c r="N53">
        <v>0.10585700000000001</v>
      </c>
      <c r="O53">
        <v>0.58261399999999997</v>
      </c>
      <c r="P53">
        <v>2269895365194</v>
      </c>
      <c r="Q53">
        <v>2</v>
      </c>
      <c r="R53">
        <v>0.31757099999999999</v>
      </c>
      <c r="S53">
        <v>419978384401</v>
      </c>
      <c r="T53">
        <v>1</v>
      </c>
    </row>
    <row r="54" spans="1:20">
      <c r="A54" t="s">
        <v>135</v>
      </c>
      <c r="B54" t="s">
        <v>64</v>
      </c>
      <c r="C54" t="s">
        <v>77</v>
      </c>
      <c r="D54" t="s">
        <v>88</v>
      </c>
      <c r="E54" t="s">
        <v>62</v>
      </c>
      <c r="F54">
        <v>2043000000000</v>
      </c>
      <c r="G54">
        <v>574969527091</v>
      </c>
      <c r="H54" t="s">
        <v>78</v>
      </c>
      <c r="I54">
        <v>0.85850000000000004</v>
      </c>
      <c r="J54">
        <v>1.43</v>
      </c>
      <c r="K54">
        <v>0.2</v>
      </c>
      <c r="L54">
        <v>0</v>
      </c>
      <c r="M54">
        <v>3</v>
      </c>
      <c r="N54">
        <v>4.3749999999999997E-2</v>
      </c>
      <c r="O54">
        <v>0.40046300000000001</v>
      </c>
      <c r="P54">
        <v>2272987810836</v>
      </c>
      <c r="Q54">
        <v>2</v>
      </c>
      <c r="R54">
        <v>0.13125000000000001</v>
      </c>
      <c r="S54">
        <v>119469889281</v>
      </c>
      <c r="T54">
        <v>0</v>
      </c>
    </row>
    <row r="55" spans="1:20">
      <c r="A55" t="s">
        <v>136</v>
      </c>
      <c r="B55" t="s">
        <v>59</v>
      </c>
      <c r="C55" t="s">
        <v>74</v>
      </c>
      <c r="D55" t="s">
        <v>55</v>
      </c>
      <c r="E55" t="s">
        <v>71</v>
      </c>
      <c r="F55">
        <v>383000000000</v>
      </c>
      <c r="G55">
        <v>38727158657</v>
      </c>
      <c r="H55" t="s">
        <v>68</v>
      </c>
      <c r="I55">
        <v>0.96740000000000004</v>
      </c>
      <c r="J55">
        <v>1.9470000000000001</v>
      </c>
      <c r="K55">
        <v>2.6230000000000002</v>
      </c>
      <c r="L55">
        <v>0</v>
      </c>
      <c r="M55">
        <v>2</v>
      </c>
      <c r="N55">
        <v>1.7999999999999999E-2</v>
      </c>
      <c r="O55">
        <v>0.58857999999999999</v>
      </c>
      <c r="P55">
        <v>398490863462</v>
      </c>
      <c r="Q55">
        <v>2</v>
      </c>
      <c r="R55">
        <v>5.3999999999999999E-2</v>
      </c>
      <c r="S55">
        <v>12665358509</v>
      </c>
      <c r="T55">
        <v>0</v>
      </c>
    </row>
    <row r="56" spans="1:20">
      <c r="A56" t="s">
        <v>137</v>
      </c>
      <c r="B56" t="s">
        <v>59</v>
      </c>
      <c r="C56" t="s">
        <v>65</v>
      </c>
      <c r="D56" t="s">
        <v>61</v>
      </c>
      <c r="E56" t="s">
        <v>67</v>
      </c>
      <c r="F56">
        <v>594000000000</v>
      </c>
      <c r="G56">
        <v>102532541340</v>
      </c>
      <c r="H56" t="s">
        <v>78</v>
      </c>
      <c r="I56">
        <v>1.0601</v>
      </c>
      <c r="J56">
        <v>1.4910000000000001</v>
      </c>
      <c r="K56">
        <v>5.2309999999999999</v>
      </c>
      <c r="L56">
        <v>0</v>
      </c>
      <c r="M56">
        <v>2</v>
      </c>
      <c r="N56">
        <v>0.21212</v>
      </c>
      <c r="O56">
        <v>0.471051</v>
      </c>
      <c r="P56">
        <v>635013016536</v>
      </c>
      <c r="Q56">
        <v>2</v>
      </c>
      <c r="R56">
        <v>0.63636099999999995</v>
      </c>
      <c r="S56">
        <v>190350806617</v>
      </c>
      <c r="T56">
        <v>0</v>
      </c>
    </row>
    <row r="57" spans="1:20">
      <c r="A57" t="s">
        <v>138</v>
      </c>
      <c r="B57" t="s">
        <v>64</v>
      </c>
      <c r="C57" t="s">
        <v>60</v>
      </c>
      <c r="D57" t="s">
        <v>97</v>
      </c>
      <c r="E57" t="s">
        <v>56</v>
      </c>
      <c r="F57">
        <v>2007000000000</v>
      </c>
      <c r="G57">
        <v>781460106103</v>
      </c>
      <c r="H57" t="s">
        <v>84</v>
      </c>
      <c r="I57">
        <v>1.1986000000000001</v>
      </c>
      <c r="J57">
        <v>1.202</v>
      </c>
      <c r="K57">
        <v>3.7309999999999999</v>
      </c>
      <c r="L57">
        <v>0</v>
      </c>
      <c r="M57">
        <v>2</v>
      </c>
      <c r="N57">
        <v>8.7325E-2</v>
      </c>
      <c r="O57">
        <v>0.86949399999999999</v>
      </c>
      <c r="P57">
        <v>2319584042441</v>
      </c>
      <c r="Q57">
        <v>2</v>
      </c>
      <c r="R57">
        <v>0.26197500000000001</v>
      </c>
      <c r="S57">
        <v>528366922824</v>
      </c>
      <c r="T57">
        <v>0</v>
      </c>
    </row>
    <row r="58" spans="1:20">
      <c r="A58" t="s">
        <v>139</v>
      </c>
      <c r="B58" t="s">
        <v>59</v>
      </c>
      <c r="C58" t="s">
        <v>80</v>
      </c>
      <c r="D58" t="s">
        <v>66</v>
      </c>
      <c r="E58" t="s">
        <v>62</v>
      </c>
      <c r="F58">
        <v>1939000000000</v>
      </c>
      <c r="G58">
        <v>615346587588</v>
      </c>
      <c r="H58" t="s">
        <v>84</v>
      </c>
      <c r="I58">
        <v>0.9244</v>
      </c>
      <c r="J58">
        <v>1.2969999999999999</v>
      </c>
      <c r="K58">
        <v>1.86</v>
      </c>
      <c r="L58">
        <v>0</v>
      </c>
      <c r="M58">
        <v>0</v>
      </c>
      <c r="N58">
        <v>2.5000000000000001E-2</v>
      </c>
      <c r="O58">
        <v>0.77352299999999996</v>
      </c>
      <c r="P58">
        <v>2185138635035</v>
      </c>
      <c r="Q58">
        <v>1</v>
      </c>
      <c r="R58">
        <v>3.7499999999999999E-2</v>
      </c>
      <c r="S58">
        <v>42256365940</v>
      </c>
      <c r="T58">
        <v>0</v>
      </c>
    </row>
    <row r="59" spans="1:20">
      <c r="A59" t="s">
        <v>140</v>
      </c>
      <c r="B59" t="s">
        <v>64</v>
      </c>
      <c r="C59" t="s">
        <v>95</v>
      </c>
      <c r="D59" t="s">
        <v>88</v>
      </c>
      <c r="E59" t="s">
        <v>67</v>
      </c>
      <c r="F59">
        <v>64000000000</v>
      </c>
      <c r="G59">
        <v>20806382234</v>
      </c>
      <c r="H59" t="s">
        <v>68</v>
      </c>
      <c r="I59">
        <v>0.82189999999999996</v>
      </c>
      <c r="J59">
        <v>1.123</v>
      </c>
      <c r="K59">
        <v>4.2939999999999996</v>
      </c>
      <c r="L59">
        <v>95</v>
      </c>
      <c r="M59">
        <v>0</v>
      </c>
      <c r="N59">
        <v>0.33605200000000002</v>
      </c>
      <c r="O59">
        <v>0.53765700000000005</v>
      </c>
      <c r="P59">
        <v>72322552893</v>
      </c>
      <c r="Q59">
        <v>3</v>
      </c>
      <c r="R59">
        <v>0.33605200000000002</v>
      </c>
      <c r="S59">
        <v>13067310410</v>
      </c>
      <c r="T59">
        <v>1</v>
      </c>
    </row>
    <row r="60" spans="1:20">
      <c r="A60" t="s">
        <v>141</v>
      </c>
      <c r="B60" t="s">
        <v>53</v>
      </c>
      <c r="C60" t="s">
        <v>91</v>
      </c>
      <c r="D60" t="s">
        <v>55</v>
      </c>
      <c r="E60" t="s">
        <v>71</v>
      </c>
      <c r="F60">
        <v>1558000000000</v>
      </c>
      <c r="G60">
        <v>668947268387</v>
      </c>
      <c r="H60" t="s">
        <v>78</v>
      </c>
      <c r="I60">
        <v>0.55779999999999996</v>
      </c>
      <c r="J60">
        <v>0.97799999999999998</v>
      </c>
      <c r="K60">
        <v>1.458</v>
      </c>
      <c r="L60">
        <v>5</v>
      </c>
      <c r="M60">
        <v>0</v>
      </c>
      <c r="N60">
        <v>1.5131E-2</v>
      </c>
      <c r="O60">
        <v>0.29522100000000001</v>
      </c>
      <c r="P60">
        <v>2059710451290</v>
      </c>
      <c r="Q60">
        <v>1</v>
      </c>
      <c r="R60">
        <v>2.2696999999999998E-2</v>
      </c>
      <c r="S60">
        <v>9200808915</v>
      </c>
      <c r="T60">
        <v>0</v>
      </c>
    </row>
    <row r="61" spans="1:20">
      <c r="A61" t="s">
        <v>142</v>
      </c>
      <c r="B61" t="s">
        <v>64</v>
      </c>
      <c r="C61" t="s">
        <v>95</v>
      </c>
      <c r="D61" t="s">
        <v>75</v>
      </c>
      <c r="E61" t="s">
        <v>143</v>
      </c>
      <c r="F61">
        <v>1228000000000</v>
      </c>
      <c r="G61">
        <v>499232136689</v>
      </c>
      <c r="H61" t="s">
        <v>84</v>
      </c>
      <c r="I61">
        <v>0.75160000000000005</v>
      </c>
      <c r="J61">
        <v>2.74</v>
      </c>
      <c r="K61">
        <v>3.9119999999999999</v>
      </c>
      <c r="L61">
        <v>0</v>
      </c>
      <c r="M61">
        <v>0</v>
      </c>
      <c r="N61">
        <v>0.31062699999999999</v>
      </c>
      <c r="O61">
        <v>0.71304599999999996</v>
      </c>
      <c r="P61">
        <v>1427692854675</v>
      </c>
      <c r="Q61">
        <v>1</v>
      </c>
      <c r="R61">
        <v>0.46594000000000002</v>
      </c>
      <c r="S61">
        <v>316221194796</v>
      </c>
      <c r="T61">
        <v>0</v>
      </c>
    </row>
    <row r="62" spans="1:20">
      <c r="A62" t="s">
        <v>144</v>
      </c>
      <c r="B62" t="s">
        <v>53</v>
      </c>
      <c r="C62" t="s">
        <v>60</v>
      </c>
      <c r="D62" t="s">
        <v>81</v>
      </c>
      <c r="E62" t="s">
        <v>71</v>
      </c>
      <c r="F62">
        <v>2800000000000</v>
      </c>
      <c r="G62">
        <v>303445537738</v>
      </c>
      <c r="H62" t="s">
        <v>78</v>
      </c>
      <c r="I62">
        <v>0.94489999999999996</v>
      </c>
      <c r="J62">
        <v>1.641</v>
      </c>
      <c r="K62">
        <v>2.16</v>
      </c>
      <c r="L62">
        <v>15</v>
      </c>
      <c r="M62">
        <v>2</v>
      </c>
      <c r="N62">
        <v>2.1000000000000001E-2</v>
      </c>
      <c r="O62">
        <v>0.43071500000000001</v>
      </c>
      <c r="P62">
        <v>3027584153303</v>
      </c>
      <c r="Q62">
        <v>2</v>
      </c>
      <c r="R62">
        <v>6.3E-2</v>
      </c>
      <c r="S62">
        <v>82153545841</v>
      </c>
      <c r="T62">
        <v>0</v>
      </c>
    </row>
    <row r="63" spans="1:20">
      <c r="A63" t="s">
        <v>145</v>
      </c>
      <c r="B63" t="s">
        <v>86</v>
      </c>
      <c r="C63" t="s">
        <v>91</v>
      </c>
      <c r="D63" t="s">
        <v>97</v>
      </c>
      <c r="E63" t="s">
        <v>62</v>
      </c>
      <c r="F63">
        <v>2619000000000</v>
      </c>
      <c r="G63">
        <v>1133799363776</v>
      </c>
      <c r="H63" t="s">
        <v>72</v>
      </c>
      <c r="I63">
        <v>0.87749999999999995</v>
      </c>
      <c r="J63">
        <v>1.577</v>
      </c>
      <c r="K63">
        <v>1.7609999999999999</v>
      </c>
      <c r="L63">
        <v>35</v>
      </c>
      <c r="M63">
        <v>0</v>
      </c>
      <c r="N63">
        <v>3.9583E-2</v>
      </c>
      <c r="O63">
        <v>0.557114</v>
      </c>
      <c r="P63">
        <v>3469349522832</v>
      </c>
      <c r="Q63">
        <v>2</v>
      </c>
      <c r="R63">
        <v>0.11874999999999999</v>
      </c>
      <c r="S63">
        <v>229522704121</v>
      </c>
      <c r="T63">
        <v>0</v>
      </c>
    </row>
    <row r="64" spans="1:20">
      <c r="A64" t="s">
        <v>146</v>
      </c>
      <c r="B64" t="s">
        <v>59</v>
      </c>
      <c r="C64" t="s">
        <v>70</v>
      </c>
      <c r="D64" t="s">
        <v>66</v>
      </c>
      <c r="E64" t="s">
        <v>62</v>
      </c>
      <c r="F64">
        <v>1623000000000</v>
      </c>
      <c r="G64">
        <v>200466745663</v>
      </c>
      <c r="H64" t="s">
        <v>84</v>
      </c>
      <c r="I64">
        <v>0.57140000000000002</v>
      </c>
      <c r="J64">
        <v>1.4630000000000001</v>
      </c>
      <c r="K64">
        <v>3.1850000000000001</v>
      </c>
      <c r="L64">
        <v>35</v>
      </c>
      <c r="M64">
        <v>0</v>
      </c>
      <c r="N64">
        <v>4.0139000000000001E-2</v>
      </c>
      <c r="O64">
        <v>0.64999300000000004</v>
      </c>
      <c r="P64">
        <v>1703186698265</v>
      </c>
      <c r="Q64">
        <v>2</v>
      </c>
      <c r="R64">
        <v>0.120416</v>
      </c>
      <c r="S64">
        <v>133307838628</v>
      </c>
      <c r="T64">
        <v>0</v>
      </c>
    </row>
    <row r="65" spans="1:20">
      <c r="A65" t="s">
        <v>147</v>
      </c>
      <c r="B65" t="s">
        <v>64</v>
      </c>
      <c r="C65" t="s">
        <v>77</v>
      </c>
      <c r="D65" t="s">
        <v>88</v>
      </c>
      <c r="E65" t="s">
        <v>62</v>
      </c>
      <c r="F65">
        <v>2954000000000</v>
      </c>
      <c r="G65">
        <v>1020198900536</v>
      </c>
      <c r="H65" t="s">
        <v>84</v>
      </c>
      <c r="I65">
        <v>0.70469999999999999</v>
      </c>
      <c r="J65">
        <v>1.6739999999999999</v>
      </c>
      <c r="K65">
        <v>2.5110000000000001</v>
      </c>
      <c r="L65">
        <v>0</v>
      </c>
      <c r="M65">
        <v>1</v>
      </c>
      <c r="N65">
        <v>3.125E-2</v>
      </c>
      <c r="O65">
        <v>0.69665200000000005</v>
      </c>
      <c r="P65">
        <v>3362079560214</v>
      </c>
      <c r="Q65">
        <v>1</v>
      </c>
      <c r="R65">
        <v>4.6875E-2</v>
      </c>
      <c r="S65">
        <v>73193781272</v>
      </c>
      <c r="T65">
        <v>0</v>
      </c>
    </row>
    <row r="66" spans="1:20">
      <c r="A66" t="s">
        <v>148</v>
      </c>
      <c r="B66" t="s">
        <v>59</v>
      </c>
      <c r="C66" t="s">
        <v>70</v>
      </c>
      <c r="D66" t="s">
        <v>88</v>
      </c>
      <c r="E66" t="s">
        <v>71</v>
      </c>
      <c r="F66">
        <v>721000000000</v>
      </c>
      <c r="G66">
        <v>65147871124</v>
      </c>
      <c r="H66" t="s">
        <v>68</v>
      </c>
      <c r="I66">
        <v>0.94299999999999995</v>
      </c>
      <c r="J66">
        <v>0.70499999999999996</v>
      </c>
      <c r="K66">
        <v>2.1</v>
      </c>
      <c r="L66">
        <v>65</v>
      </c>
      <c r="M66">
        <v>2</v>
      </c>
      <c r="N66">
        <v>3.5755000000000002E-2</v>
      </c>
      <c r="O66">
        <v>0.58005499999999999</v>
      </c>
      <c r="P66">
        <v>747059148449</v>
      </c>
      <c r="Q66">
        <v>2</v>
      </c>
      <c r="R66">
        <v>0.107265</v>
      </c>
      <c r="S66">
        <v>46481928901</v>
      </c>
      <c r="T66">
        <v>0</v>
      </c>
    </row>
    <row r="67" spans="1:20">
      <c r="A67" t="s">
        <v>149</v>
      </c>
      <c r="B67" t="s">
        <v>64</v>
      </c>
      <c r="C67" t="s">
        <v>95</v>
      </c>
      <c r="D67" t="s">
        <v>81</v>
      </c>
      <c r="E67" t="s">
        <v>67</v>
      </c>
      <c r="F67">
        <v>578000000000</v>
      </c>
      <c r="G67">
        <v>196154803345</v>
      </c>
      <c r="H67" t="s">
        <v>54</v>
      </c>
      <c r="I67">
        <v>0.76870000000000005</v>
      </c>
      <c r="J67">
        <v>1.9259999999999999</v>
      </c>
      <c r="K67">
        <v>5.2779999999999996</v>
      </c>
      <c r="L67">
        <v>35</v>
      </c>
      <c r="M67">
        <v>0</v>
      </c>
      <c r="N67">
        <v>0.222806</v>
      </c>
      <c r="O67">
        <v>0.51905400000000002</v>
      </c>
      <c r="P67">
        <v>656461921338</v>
      </c>
      <c r="Q67">
        <v>2</v>
      </c>
      <c r="R67">
        <v>0.66841700000000004</v>
      </c>
      <c r="S67">
        <v>227756063322</v>
      </c>
      <c r="T67">
        <v>0</v>
      </c>
    </row>
    <row r="68" spans="1:20">
      <c r="A68" t="s">
        <v>150</v>
      </c>
      <c r="B68" t="s">
        <v>64</v>
      </c>
      <c r="C68" t="s">
        <v>95</v>
      </c>
      <c r="D68" t="s">
        <v>88</v>
      </c>
      <c r="E68" t="s">
        <v>62</v>
      </c>
      <c r="F68">
        <v>2755000000000</v>
      </c>
      <c r="G68">
        <v>325014605877</v>
      </c>
      <c r="H68" t="s">
        <v>84</v>
      </c>
      <c r="I68">
        <v>0.64080000000000004</v>
      </c>
      <c r="J68">
        <v>2.3330000000000002</v>
      </c>
      <c r="K68">
        <v>1.7490000000000001</v>
      </c>
      <c r="L68">
        <v>65</v>
      </c>
      <c r="M68">
        <v>0</v>
      </c>
      <c r="N68">
        <v>5.2082999999999997E-2</v>
      </c>
      <c r="O68">
        <v>0.67426299999999995</v>
      </c>
      <c r="P68">
        <v>2885005842350</v>
      </c>
      <c r="Q68">
        <v>2</v>
      </c>
      <c r="R68">
        <v>0.15625</v>
      </c>
      <c r="S68">
        <v>303945954378</v>
      </c>
      <c r="T68">
        <v>0</v>
      </c>
    </row>
    <row r="69" spans="1:20">
      <c r="A69" t="s">
        <v>151</v>
      </c>
      <c r="B69" t="s">
        <v>64</v>
      </c>
      <c r="C69" t="s">
        <v>70</v>
      </c>
      <c r="D69" t="s">
        <v>55</v>
      </c>
      <c r="E69" t="s">
        <v>67</v>
      </c>
      <c r="F69">
        <v>574000000000</v>
      </c>
      <c r="G69">
        <v>11713081284</v>
      </c>
      <c r="H69" t="s">
        <v>54</v>
      </c>
      <c r="I69">
        <v>0.6996</v>
      </c>
      <c r="J69">
        <v>3.5750000000000002</v>
      </c>
      <c r="K69">
        <v>4.2759999999999998</v>
      </c>
      <c r="L69">
        <v>0</v>
      </c>
      <c r="M69">
        <v>0</v>
      </c>
      <c r="N69">
        <v>0.138376</v>
      </c>
      <c r="O69">
        <v>0.49484800000000001</v>
      </c>
      <c r="P69">
        <v>578685232513</v>
      </c>
      <c r="Q69">
        <v>1</v>
      </c>
      <c r="R69">
        <v>0.207564</v>
      </c>
      <c r="S69">
        <v>39625533909</v>
      </c>
      <c r="T69">
        <v>0</v>
      </c>
    </row>
    <row r="70" spans="1:20">
      <c r="A70" t="s">
        <v>152</v>
      </c>
      <c r="B70" t="s">
        <v>53</v>
      </c>
      <c r="C70" t="s">
        <v>83</v>
      </c>
      <c r="D70" t="s">
        <v>97</v>
      </c>
      <c r="E70" t="s">
        <v>56</v>
      </c>
      <c r="F70">
        <v>407000000000</v>
      </c>
      <c r="G70">
        <v>152690888205</v>
      </c>
      <c r="H70" t="s">
        <v>84</v>
      </c>
      <c r="I70">
        <v>0.49640000000000001</v>
      </c>
      <c r="J70">
        <v>0.93600000000000005</v>
      </c>
      <c r="K70">
        <v>2.802</v>
      </c>
      <c r="L70">
        <v>0</v>
      </c>
      <c r="M70">
        <v>0</v>
      </c>
      <c r="N70">
        <v>6.6631999999999997E-2</v>
      </c>
      <c r="O70">
        <v>0.62374399999999997</v>
      </c>
      <c r="P70">
        <v>521518166153</v>
      </c>
      <c r="Q70">
        <v>1</v>
      </c>
      <c r="R70">
        <v>9.9947999999999995E-2</v>
      </c>
      <c r="S70">
        <v>21675035582</v>
      </c>
      <c r="T70">
        <v>0</v>
      </c>
    </row>
    <row r="71" spans="1:20">
      <c r="A71" t="s">
        <v>153</v>
      </c>
      <c r="B71" t="s">
        <v>59</v>
      </c>
      <c r="C71" t="s">
        <v>91</v>
      </c>
      <c r="D71" t="s">
        <v>75</v>
      </c>
      <c r="E71" t="s">
        <v>67</v>
      </c>
      <c r="F71">
        <v>779000000000</v>
      </c>
      <c r="G71">
        <v>339404920359</v>
      </c>
      <c r="H71" t="s">
        <v>72</v>
      </c>
      <c r="I71">
        <v>1.0624</v>
      </c>
      <c r="J71">
        <v>2.7730000000000001</v>
      </c>
      <c r="K71">
        <v>2.3780000000000001</v>
      </c>
      <c r="L71">
        <v>5</v>
      </c>
      <c r="M71">
        <v>3</v>
      </c>
      <c r="N71">
        <v>0.22</v>
      </c>
      <c r="O71">
        <v>0.62182599999999999</v>
      </c>
      <c r="P71">
        <v>914761968143</v>
      </c>
      <c r="Q71">
        <v>2</v>
      </c>
      <c r="R71">
        <v>0.66</v>
      </c>
      <c r="S71">
        <v>375423052265</v>
      </c>
      <c r="T71">
        <v>1</v>
      </c>
    </row>
    <row r="72" spans="1:20">
      <c r="A72" t="s">
        <v>154</v>
      </c>
      <c r="B72" t="s">
        <v>59</v>
      </c>
      <c r="C72" t="s">
        <v>60</v>
      </c>
      <c r="D72" t="s">
        <v>61</v>
      </c>
      <c r="E72" t="s">
        <v>143</v>
      </c>
      <c r="F72">
        <v>850000000000</v>
      </c>
      <c r="G72">
        <v>224291529469</v>
      </c>
      <c r="H72" t="s">
        <v>78</v>
      </c>
      <c r="I72">
        <v>0.90620000000000001</v>
      </c>
      <c r="J72">
        <v>1.43</v>
      </c>
      <c r="K72">
        <v>3.5760000000000001</v>
      </c>
      <c r="L72">
        <v>95</v>
      </c>
      <c r="M72">
        <v>3</v>
      </c>
      <c r="N72">
        <v>0.95270200000000005</v>
      </c>
      <c r="O72">
        <v>0.41717500000000002</v>
      </c>
      <c r="P72">
        <v>939716611787</v>
      </c>
      <c r="Q72">
        <v>3</v>
      </c>
      <c r="R72">
        <v>0.95270200000000005</v>
      </c>
      <c r="S72">
        <v>373484449748</v>
      </c>
      <c r="T72">
        <v>1</v>
      </c>
    </row>
    <row r="73" spans="1:20">
      <c r="A73" t="s">
        <v>155</v>
      </c>
      <c r="B73" t="s">
        <v>64</v>
      </c>
      <c r="C73" t="s">
        <v>95</v>
      </c>
      <c r="D73" t="s">
        <v>55</v>
      </c>
      <c r="E73" t="s">
        <v>67</v>
      </c>
      <c r="F73">
        <v>541000000000</v>
      </c>
      <c r="G73">
        <v>3617746664</v>
      </c>
      <c r="H73" t="s">
        <v>54</v>
      </c>
      <c r="I73">
        <v>0.55859999999999999</v>
      </c>
      <c r="J73">
        <v>1.901</v>
      </c>
      <c r="K73">
        <v>2.2000000000000002</v>
      </c>
      <c r="L73">
        <v>0</v>
      </c>
      <c r="M73">
        <v>1</v>
      </c>
      <c r="N73">
        <v>0.15</v>
      </c>
      <c r="O73">
        <v>0.44550499999999998</v>
      </c>
      <c r="P73">
        <v>542447098665</v>
      </c>
      <c r="Q73">
        <v>1</v>
      </c>
      <c r="R73">
        <v>0.22500000000000001</v>
      </c>
      <c r="S73">
        <v>36249398893</v>
      </c>
      <c r="T73">
        <v>0</v>
      </c>
    </row>
    <row r="74" spans="1:20">
      <c r="A74" t="s">
        <v>156</v>
      </c>
      <c r="B74" t="s">
        <v>64</v>
      </c>
      <c r="C74" t="s">
        <v>91</v>
      </c>
      <c r="D74" t="s">
        <v>66</v>
      </c>
      <c r="E74" t="s">
        <v>62</v>
      </c>
      <c r="F74">
        <v>1853000000000</v>
      </c>
      <c r="G74">
        <v>420125891477</v>
      </c>
      <c r="H74" t="s">
        <v>54</v>
      </c>
      <c r="I74">
        <v>0.70609999999999995</v>
      </c>
      <c r="J74">
        <v>1.7450000000000001</v>
      </c>
      <c r="K74">
        <v>3.7829999999999999</v>
      </c>
      <c r="L74">
        <v>95</v>
      </c>
      <c r="M74">
        <v>0</v>
      </c>
      <c r="N74">
        <v>6.6932000000000005E-2</v>
      </c>
      <c r="O74">
        <v>0.49713000000000002</v>
      </c>
      <c r="P74">
        <v>2021050356590</v>
      </c>
      <c r="Q74">
        <v>3</v>
      </c>
      <c r="R74">
        <v>6.6932000000000005E-2</v>
      </c>
      <c r="S74">
        <v>67248032622</v>
      </c>
      <c r="T74">
        <v>1</v>
      </c>
    </row>
    <row r="75" spans="1:20">
      <c r="A75" t="s">
        <v>157</v>
      </c>
      <c r="B75" t="s">
        <v>64</v>
      </c>
      <c r="C75" t="s">
        <v>95</v>
      </c>
      <c r="D75" t="s">
        <v>97</v>
      </c>
      <c r="E75" t="s">
        <v>62</v>
      </c>
      <c r="F75">
        <v>303000000000</v>
      </c>
      <c r="G75">
        <v>122615023424</v>
      </c>
      <c r="H75" t="s">
        <v>68</v>
      </c>
      <c r="I75">
        <v>0.82030000000000003</v>
      </c>
      <c r="J75">
        <v>1.6639999999999999</v>
      </c>
      <c r="K75">
        <v>3.9129999999999998</v>
      </c>
      <c r="L75">
        <v>0</v>
      </c>
      <c r="M75">
        <v>1</v>
      </c>
      <c r="N75">
        <v>3.3989999999999999E-2</v>
      </c>
      <c r="O75">
        <v>0.53708900000000004</v>
      </c>
      <c r="P75">
        <v>352046009369</v>
      </c>
      <c r="Q75">
        <v>1</v>
      </c>
      <c r="R75">
        <v>5.0985000000000003E-2</v>
      </c>
      <c r="S75">
        <v>6426805224</v>
      </c>
      <c r="T75">
        <v>0</v>
      </c>
    </row>
    <row r="76" spans="1:20">
      <c r="A76" t="s">
        <v>158</v>
      </c>
      <c r="B76" t="s">
        <v>64</v>
      </c>
      <c r="C76" t="s">
        <v>74</v>
      </c>
      <c r="D76" t="s">
        <v>61</v>
      </c>
      <c r="E76" t="s">
        <v>62</v>
      </c>
      <c r="F76">
        <v>2876000000000</v>
      </c>
      <c r="G76">
        <v>148074692539</v>
      </c>
      <c r="H76" t="s">
        <v>54</v>
      </c>
      <c r="I76">
        <v>0.41889999999999999</v>
      </c>
      <c r="J76">
        <v>0.86899999999999999</v>
      </c>
      <c r="K76">
        <v>0.54</v>
      </c>
      <c r="L76">
        <v>0</v>
      </c>
      <c r="M76">
        <v>1</v>
      </c>
      <c r="N76">
        <v>3.7878000000000002E-2</v>
      </c>
      <c r="O76">
        <v>0.39662599999999998</v>
      </c>
      <c r="P76">
        <v>2935229877015</v>
      </c>
      <c r="Q76">
        <v>1</v>
      </c>
      <c r="R76">
        <v>5.6816999999999999E-2</v>
      </c>
      <c r="S76">
        <v>44097233896</v>
      </c>
      <c r="T76">
        <v>0</v>
      </c>
    </row>
    <row r="77" spans="1:20">
      <c r="A77" t="s">
        <v>159</v>
      </c>
      <c r="B77" t="s">
        <v>64</v>
      </c>
      <c r="C77" t="s">
        <v>70</v>
      </c>
      <c r="D77" t="s">
        <v>97</v>
      </c>
      <c r="E77" t="s">
        <v>62</v>
      </c>
      <c r="F77">
        <v>2815000000000</v>
      </c>
      <c r="G77">
        <v>1169191294016</v>
      </c>
      <c r="H77" t="s">
        <v>57</v>
      </c>
      <c r="I77">
        <v>1.0281</v>
      </c>
      <c r="J77">
        <v>2.7469999999999999</v>
      </c>
      <c r="K77">
        <v>4.282</v>
      </c>
      <c r="L77">
        <v>5</v>
      </c>
      <c r="M77">
        <v>1</v>
      </c>
      <c r="N77">
        <v>3.7179999999999998E-2</v>
      </c>
      <c r="O77">
        <v>0.609819</v>
      </c>
      <c r="P77">
        <v>3282676517606</v>
      </c>
      <c r="Q77">
        <v>1</v>
      </c>
      <c r="R77">
        <v>5.577E-2</v>
      </c>
      <c r="S77">
        <v>74428291217</v>
      </c>
      <c r="T77">
        <v>0</v>
      </c>
    </row>
    <row r="78" spans="1:20">
      <c r="A78" t="s">
        <v>160</v>
      </c>
      <c r="B78" t="s">
        <v>64</v>
      </c>
      <c r="C78" t="s">
        <v>95</v>
      </c>
      <c r="D78" t="s">
        <v>61</v>
      </c>
      <c r="E78" t="s">
        <v>56</v>
      </c>
      <c r="F78">
        <v>1734000000000</v>
      </c>
      <c r="G78">
        <v>677372303762</v>
      </c>
      <c r="H78" t="s">
        <v>84</v>
      </c>
      <c r="I78">
        <v>0.75490000000000002</v>
      </c>
      <c r="J78">
        <v>0.378</v>
      </c>
      <c r="K78">
        <v>2.1480000000000001</v>
      </c>
      <c r="L78">
        <v>5</v>
      </c>
      <c r="M78">
        <v>0</v>
      </c>
      <c r="N78">
        <v>9.5744999999999997E-2</v>
      </c>
      <c r="O78">
        <v>0.71422799999999997</v>
      </c>
      <c r="P78">
        <v>2004948921504</v>
      </c>
      <c r="Q78">
        <v>1</v>
      </c>
      <c r="R78">
        <v>0.14361699999999999</v>
      </c>
      <c r="S78">
        <v>137105645845</v>
      </c>
      <c r="T78">
        <v>0</v>
      </c>
    </row>
    <row r="79" spans="1:20">
      <c r="A79" t="s">
        <v>161</v>
      </c>
      <c r="B79" t="s">
        <v>64</v>
      </c>
      <c r="C79" t="s">
        <v>70</v>
      </c>
      <c r="D79" t="s">
        <v>61</v>
      </c>
      <c r="E79" t="s">
        <v>71</v>
      </c>
      <c r="F79">
        <v>2299000000000</v>
      </c>
      <c r="G79">
        <v>1008217187229</v>
      </c>
      <c r="H79" t="s">
        <v>68</v>
      </c>
      <c r="I79">
        <v>0.78490000000000004</v>
      </c>
      <c r="J79">
        <v>2.1160000000000001</v>
      </c>
      <c r="K79">
        <v>1.4450000000000001</v>
      </c>
      <c r="L79">
        <v>65</v>
      </c>
      <c r="M79">
        <v>1</v>
      </c>
      <c r="N79">
        <v>2.8000000000000001E-2</v>
      </c>
      <c r="O79">
        <v>0.52473199999999998</v>
      </c>
      <c r="P79">
        <v>2702286874891</v>
      </c>
      <c r="Q79">
        <v>2</v>
      </c>
      <c r="R79">
        <v>8.4000000000000005E-2</v>
      </c>
      <c r="S79">
        <v>119110074512</v>
      </c>
      <c r="T79">
        <v>0</v>
      </c>
    </row>
    <row r="80" spans="1:20">
      <c r="A80" t="s">
        <v>162</v>
      </c>
      <c r="B80" t="s">
        <v>86</v>
      </c>
      <c r="C80" t="s">
        <v>70</v>
      </c>
      <c r="D80" t="s">
        <v>61</v>
      </c>
      <c r="E80" t="s">
        <v>56</v>
      </c>
      <c r="F80">
        <v>27000000000</v>
      </c>
      <c r="G80">
        <v>2204077532</v>
      </c>
      <c r="H80" t="s">
        <v>72</v>
      </c>
      <c r="I80">
        <v>1.0319</v>
      </c>
      <c r="J80">
        <v>2.431</v>
      </c>
      <c r="K80">
        <v>5.2850000000000001</v>
      </c>
      <c r="L80">
        <v>0</v>
      </c>
      <c r="M80">
        <v>0</v>
      </c>
      <c r="N80">
        <v>7.0079000000000002E-2</v>
      </c>
      <c r="O80">
        <v>0.611178</v>
      </c>
      <c r="P80">
        <v>28653058149</v>
      </c>
      <c r="Q80">
        <v>1</v>
      </c>
      <c r="R80">
        <v>0.105118</v>
      </c>
      <c r="S80">
        <v>1227228184</v>
      </c>
      <c r="T80">
        <v>0</v>
      </c>
    </row>
    <row r="81" spans="1:20">
      <c r="A81" t="s">
        <v>163</v>
      </c>
      <c r="B81" t="s">
        <v>53</v>
      </c>
      <c r="C81" t="s">
        <v>91</v>
      </c>
      <c r="D81" t="s">
        <v>55</v>
      </c>
      <c r="E81" t="s">
        <v>62</v>
      </c>
      <c r="F81">
        <v>2444000000000</v>
      </c>
      <c r="G81">
        <v>93435752566</v>
      </c>
      <c r="H81" t="s">
        <v>78</v>
      </c>
      <c r="I81">
        <v>0.83450000000000002</v>
      </c>
      <c r="J81">
        <v>2.1040000000000001</v>
      </c>
      <c r="K81">
        <v>3.4660000000000002</v>
      </c>
      <c r="L81">
        <v>0</v>
      </c>
      <c r="M81">
        <v>0</v>
      </c>
      <c r="N81">
        <v>2.6398000000000001E-2</v>
      </c>
      <c r="O81">
        <v>0.39208900000000002</v>
      </c>
      <c r="P81">
        <v>2514076814424</v>
      </c>
      <c r="Q81">
        <v>1</v>
      </c>
      <c r="R81">
        <v>3.9597E-2</v>
      </c>
      <c r="S81">
        <v>26021432285</v>
      </c>
      <c r="T81">
        <v>0</v>
      </c>
    </row>
    <row r="82" spans="1:20">
      <c r="A82" t="s">
        <v>164</v>
      </c>
      <c r="B82" t="s">
        <v>59</v>
      </c>
      <c r="C82" t="s">
        <v>74</v>
      </c>
      <c r="D82" t="s">
        <v>66</v>
      </c>
      <c r="E82" t="s">
        <v>62</v>
      </c>
      <c r="F82">
        <v>456000000000</v>
      </c>
      <c r="G82">
        <v>58122175660</v>
      </c>
      <c r="H82" t="s">
        <v>68</v>
      </c>
      <c r="I82">
        <v>0.74970000000000003</v>
      </c>
      <c r="J82">
        <v>1.228</v>
      </c>
      <c r="K82">
        <v>2.988</v>
      </c>
      <c r="L82">
        <v>0</v>
      </c>
      <c r="M82">
        <v>0</v>
      </c>
      <c r="N82">
        <v>2.5000000000000001E-2</v>
      </c>
      <c r="O82">
        <v>0.51238799999999995</v>
      </c>
      <c r="P82">
        <v>479248870264</v>
      </c>
      <c r="Q82">
        <v>1</v>
      </c>
      <c r="R82">
        <v>3.7499999999999999E-2</v>
      </c>
      <c r="S82">
        <v>6139035081</v>
      </c>
      <c r="T82">
        <v>0</v>
      </c>
    </row>
    <row r="83" spans="1:20">
      <c r="A83" t="s">
        <v>165</v>
      </c>
      <c r="B83" t="s">
        <v>59</v>
      </c>
      <c r="C83" t="s">
        <v>91</v>
      </c>
      <c r="D83" t="s">
        <v>55</v>
      </c>
      <c r="E83" t="s">
        <v>62</v>
      </c>
      <c r="F83">
        <v>1765000000000</v>
      </c>
      <c r="G83">
        <v>139545596389</v>
      </c>
      <c r="H83" t="s">
        <v>68</v>
      </c>
      <c r="I83">
        <v>1.0154000000000001</v>
      </c>
      <c r="J83">
        <v>1.1739999999999999</v>
      </c>
      <c r="K83">
        <v>4.6929999999999996</v>
      </c>
      <c r="L83">
        <v>15</v>
      </c>
      <c r="M83">
        <v>0</v>
      </c>
      <c r="N83">
        <v>3.6850000000000001E-2</v>
      </c>
      <c r="O83">
        <v>0.605402</v>
      </c>
      <c r="P83">
        <v>1820818238555</v>
      </c>
      <c r="Q83">
        <v>1</v>
      </c>
      <c r="R83">
        <v>5.5274999999999998E-2</v>
      </c>
      <c r="S83">
        <v>40620478631</v>
      </c>
      <c r="T83">
        <v>0</v>
      </c>
    </row>
    <row r="84" spans="1:20">
      <c r="A84" t="s">
        <v>166</v>
      </c>
      <c r="B84" t="s">
        <v>53</v>
      </c>
      <c r="C84" t="s">
        <v>95</v>
      </c>
      <c r="D84" t="s">
        <v>55</v>
      </c>
      <c r="E84" t="s">
        <v>167</v>
      </c>
      <c r="F84">
        <v>1760000000000</v>
      </c>
      <c r="G84">
        <v>454132547261</v>
      </c>
      <c r="H84" t="s">
        <v>78</v>
      </c>
      <c r="I84">
        <v>0.79759999999999998</v>
      </c>
      <c r="J84">
        <v>1.246</v>
      </c>
      <c r="K84">
        <v>3.415</v>
      </c>
      <c r="L84">
        <v>0</v>
      </c>
      <c r="M84">
        <v>1</v>
      </c>
      <c r="N84">
        <v>2.5999999999999999E-3</v>
      </c>
      <c r="O84">
        <v>0.37917400000000001</v>
      </c>
      <c r="P84">
        <v>2100599410445</v>
      </c>
      <c r="Q84">
        <v>1</v>
      </c>
      <c r="R84">
        <v>3.8999999999999998E-3</v>
      </c>
      <c r="S84">
        <v>2070640850</v>
      </c>
      <c r="T84">
        <v>0</v>
      </c>
    </row>
    <row r="85" spans="1:20">
      <c r="A85" t="s">
        <v>168</v>
      </c>
      <c r="B85" t="s">
        <v>64</v>
      </c>
      <c r="C85" t="s">
        <v>77</v>
      </c>
      <c r="D85" t="s">
        <v>66</v>
      </c>
      <c r="E85" t="s">
        <v>67</v>
      </c>
      <c r="F85">
        <v>2148000000000</v>
      </c>
      <c r="G85">
        <v>76020274760</v>
      </c>
      <c r="H85" t="s">
        <v>68</v>
      </c>
      <c r="I85">
        <v>1.1706000000000001</v>
      </c>
      <c r="J85">
        <v>2.4249999999999998</v>
      </c>
      <c r="K85">
        <v>1.516</v>
      </c>
      <c r="L85">
        <v>0</v>
      </c>
      <c r="M85">
        <v>0</v>
      </c>
      <c r="N85">
        <v>0.12</v>
      </c>
      <c r="O85">
        <v>0.65971400000000002</v>
      </c>
      <c r="P85">
        <v>2178408109904</v>
      </c>
      <c r="Q85">
        <v>1</v>
      </c>
      <c r="R85">
        <v>0.18</v>
      </c>
      <c r="S85">
        <v>172455077169</v>
      </c>
      <c r="T85">
        <v>0</v>
      </c>
    </row>
    <row r="86" spans="1:20">
      <c r="A86" t="s">
        <v>169</v>
      </c>
      <c r="B86" t="s">
        <v>59</v>
      </c>
      <c r="C86" t="s">
        <v>83</v>
      </c>
      <c r="D86" t="s">
        <v>88</v>
      </c>
      <c r="E86" t="s">
        <v>62</v>
      </c>
      <c r="F86">
        <v>1050000000000</v>
      </c>
      <c r="G86">
        <v>93210926834</v>
      </c>
      <c r="H86" t="s">
        <v>57</v>
      </c>
      <c r="I86">
        <v>0.5796</v>
      </c>
      <c r="J86">
        <v>1.242</v>
      </c>
      <c r="K86">
        <v>2.7109999999999999</v>
      </c>
      <c r="L86">
        <v>15</v>
      </c>
      <c r="M86">
        <v>1</v>
      </c>
      <c r="N86">
        <v>3.7499999999999999E-2</v>
      </c>
      <c r="O86">
        <v>0.45285300000000001</v>
      </c>
      <c r="P86">
        <v>1087284370733</v>
      </c>
      <c r="Q86">
        <v>1</v>
      </c>
      <c r="R86">
        <v>5.6250000000000001E-2</v>
      </c>
      <c r="S86">
        <v>18464267560</v>
      </c>
      <c r="T86">
        <v>0</v>
      </c>
    </row>
    <row r="87" spans="1:20">
      <c r="A87" t="s">
        <v>170</v>
      </c>
      <c r="B87" t="s">
        <v>59</v>
      </c>
      <c r="C87" t="s">
        <v>60</v>
      </c>
      <c r="D87" t="s">
        <v>81</v>
      </c>
      <c r="E87" t="s">
        <v>56</v>
      </c>
      <c r="F87">
        <v>1296000000000</v>
      </c>
      <c r="G87">
        <v>88038356492</v>
      </c>
      <c r="H87" t="s">
        <v>84</v>
      </c>
      <c r="I87">
        <v>0.61890000000000001</v>
      </c>
      <c r="J87">
        <v>2.34</v>
      </c>
      <c r="K87">
        <v>3.8290000000000002</v>
      </c>
      <c r="L87">
        <v>0</v>
      </c>
      <c r="M87">
        <v>0</v>
      </c>
      <c r="N87">
        <v>6.0472999999999999E-2</v>
      </c>
      <c r="O87">
        <v>0.66661999999999999</v>
      </c>
      <c r="P87">
        <v>1331215342596</v>
      </c>
      <c r="Q87">
        <v>1</v>
      </c>
      <c r="R87">
        <v>9.0709999999999999E-2</v>
      </c>
      <c r="S87">
        <v>53665096267</v>
      </c>
      <c r="T87">
        <v>0</v>
      </c>
    </row>
    <row r="88" spans="1:20">
      <c r="A88" t="s">
        <v>171</v>
      </c>
      <c r="B88" t="s">
        <v>59</v>
      </c>
      <c r="C88" t="s">
        <v>70</v>
      </c>
      <c r="D88" t="s">
        <v>75</v>
      </c>
      <c r="E88" t="s">
        <v>89</v>
      </c>
      <c r="F88">
        <v>2521000000000</v>
      </c>
      <c r="G88">
        <v>673953850243</v>
      </c>
      <c r="H88" t="s">
        <v>54</v>
      </c>
      <c r="I88">
        <v>0.45290000000000002</v>
      </c>
      <c r="J88">
        <v>2.2810000000000001</v>
      </c>
      <c r="K88">
        <v>5.4</v>
      </c>
      <c r="L88">
        <v>0</v>
      </c>
      <c r="M88">
        <v>0</v>
      </c>
      <c r="N88">
        <v>6.4400000000000004E-3</v>
      </c>
      <c r="O88">
        <v>0.40850500000000001</v>
      </c>
      <c r="P88">
        <v>2790581540097</v>
      </c>
      <c r="Q88">
        <v>1</v>
      </c>
      <c r="R88">
        <v>9.6600000000000002E-3</v>
      </c>
      <c r="S88">
        <v>7341502841</v>
      </c>
      <c r="T88">
        <v>0</v>
      </c>
    </row>
    <row r="89" spans="1:20">
      <c r="A89" t="s">
        <v>172</v>
      </c>
      <c r="B89" t="s">
        <v>59</v>
      </c>
      <c r="C89" t="s">
        <v>65</v>
      </c>
      <c r="D89" t="s">
        <v>55</v>
      </c>
      <c r="E89" t="s">
        <v>143</v>
      </c>
      <c r="F89">
        <v>2927000000000</v>
      </c>
      <c r="G89">
        <v>111074116246</v>
      </c>
      <c r="H89" t="s">
        <v>72</v>
      </c>
      <c r="I89">
        <v>0.96160000000000001</v>
      </c>
      <c r="J89">
        <v>1.706</v>
      </c>
      <c r="K89">
        <v>2.8860000000000001</v>
      </c>
      <c r="L89">
        <v>0</v>
      </c>
      <c r="M89">
        <v>0</v>
      </c>
      <c r="N89">
        <v>0.28000000000000003</v>
      </c>
      <c r="O89">
        <v>0.58657300000000001</v>
      </c>
      <c r="P89">
        <v>2971429646498</v>
      </c>
      <c r="Q89">
        <v>1</v>
      </c>
      <c r="R89">
        <v>0.42</v>
      </c>
      <c r="S89">
        <v>488028561140</v>
      </c>
      <c r="T89">
        <v>0</v>
      </c>
    </row>
    <row r="90" spans="1:20">
      <c r="A90" t="s">
        <v>173</v>
      </c>
      <c r="B90" t="s">
        <v>64</v>
      </c>
      <c r="C90" t="s">
        <v>91</v>
      </c>
      <c r="D90" t="s">
        <v>88</v>
      </c>
      <c r="E90" t="s">
        <v>62</v>
      </c>
      <c r="F90">
        <v>2586000000000</v>
      </c>
      <c r="G90">
        <v>753269243905</v>
      </c>
      <c r="H90" t="s">
        <v>54</v>
      </c>
      <c r="I90">
        <v>0.73160000000000003</v>
      </c>
      <c r="J90">
        <v>1.899</v>
      </c>
      <c r="K90">
        <v>2.702</v>
      </c>
      <c r="L90">
        <v>35</v>
      </c>
      <c r="M90">
        <v>1</v>
      </c>
      <c r="N90">
        <v>4.5832999999999999E-2</v>
      </c>
      <c r="O90">
        <v>0.506054</v>
      </c>
      <c r="P90">
        <v>2887307697562</v>
      </c>
      <c r="Q90">
        <v>2</v>
      </c>
      <c r="R90">
        <v>0.13750000000000001</v>
      </c>
      <c r="S90">
        <v>200906039522</v>
      </c>
      <c r="T90">
        <v>0</v>
      </c>
    </row>
    <row r="91" spans="1:20">
      <c r="A91" t="s">
        <v>174</v>
      </c>
      <c r="B91" t="s">
        <v>59</v>
      </c>
      <c r="C91" t="s">
        <v>91</v>
      </c>
      <c r="D91" t="s">
        <v>81</v>
      </c>
      <c r="E91" t="s">
        <v>71</v>
      </c>
      <c r="F91">
        <v>2862000000000</v>
      </c>
      <c r="G91">
        <v>852763868609</v>
      </c>
      <c r="H91" t="s">
        <v>84</v>
      </c>
      <c r="I91">
        <v>0.56159999999999999</v>
      </c>
      <c r="J91">
        <v>2.3959999999999999</v>
      </c>
      <c r="K91">
        <v>4.7930000000000001</v>
      </c>
      <c r="L91">
        <v>5</v>
      </c>
      <c r="M91">
        <v>0</v>
      </c>
      <c r="N91">
        <v>1.5582E-2</v>
      </c>
      <c r="O91">
        <v>0.64654900000000004</v>
      </c>
      <c r="P91">
        <v>3203105547443</v>
      </c>
      <c r="Q91">
        <v>1</v>
      </c>
      <c r="R91">
        <v>2.3373000000000001E-2</v>
      </c>
      <c r="S91">
        <v>32270319858</v>
      </c>
      <c r="T91">
        <v>0</v>
      </c>
    </row>
    <row r="92" spans="1:20">
      <c r="A92" t="s">
        <v>175</v>
      </c>
      <c r="B92" t="s">
        <v>64</v>
      </c>
      <c r="C92" t="s">
        <v>80</v>
      </c>
      <c r="D92" t="s">
        <v>66</v>
      </c>
      <c r="E92" t="s">
        <v>56</v>
      </c>
      <c r="F92">
        <v>1487000000000</v>
      </c>
      <c r="G92">
        <v>206677730783</v>
      </c>
      <c r="H92" t="s">
        <v>54</v>
      </c>
      <c r="I92">
        <v>0.82440000000000002</v>
      </c>
      <c r="J92">
        <v>1.6479999999999999</v>
      </c>
      <c r="K92">
        <v>3.2930000000000001</v>
      </c>
      <c r="L92">
        <v>0</v>
      </c>
      <c r="M92">
        <v>1</v>
      </c>
      <c r="N92">
        <v>7.0680999999999994E-2</v>
      </c>
      <c r="O92">
        <v>0.53852500000000003</v>
      </c>
      <c r="P92">
        <v>1569671092313</v>
      </c>
      <c r="Q92">
        <v>1</v>
      </c>
      <c r="R92">
        <v>0.10602200000000001</v>
      </c>
      <c r="S92">
        <v>59747495302</v>
      </c>
      <c r="T92">
        <v>0</v>
      </c>
    </row>
    <row r="93" spans="1:20">
      <c r="A93" t="s">
        <v>176</v>
      </c>
      <c r="B93" t="s">
        <v>59</v>
      </c>
      <c r="C93" t="s">
        <v>74</v>
      </c>
      <c r="D93" t="s">
        <v>61</v>
      </c>
      <c r="E93" t="s">
        <v>56</v>
      </c>
      <c r="F93">
        <v>2533000000000</v>
      </c>
      <c r="G93">
        <v>149376249873</v>
      </c>
      <c r="H93" t="s">
        <v>72</v>
      </c>
      <c r="I93">
        <v>0.85</v>
      </c>
      <c r="J93">
        <v>1.5660000000000001</v>
      </c>
      <c r="K93">
        <v>3.7829999999999999</v>
      </c>
      <c r="L93">
        <v>15</v>
      </c>
      <c r="M93">
        <v>0</v>
      </c>
      <c r="N93">
        <v>7.3915999999999996E-2</v>
      </c>
      <c r="O93">
        <v>0.54749400000000004</v>
      </c>
      <c r="P93">
        <v>2592750499949</v>
      </c>
      <c r="Q93">
        <v>1</v>
      </c>
      <c r="R93">
        <v>0.110873</v>
      </c>
      <c r="S93">
        <v>104924206908</v>
      </c>
      <c r="T93">
        <v>0</v>
      </c>
    </row>
    <row r="94" spans="1:20">
      <c r="A94" t="s">
        <v>177</v>
      </c>
      <c r="B94" t="s">
        <v>86</v>
      </c>
      <c r="C94" t="s">
        <v>77</v>
      </c>
      <c r="D94" t="s">
        <v>55</v>
      </c>
      <c r="E94" t="s">
        <v>56</v>
      </c>
      <c r="F94">
        <v>1169000000000</v>
      </c>
      <c r="G94">
        <v>395795372406</v>
      </c>
      <c r="H94" t="s">
        <v>78</v>
      </c>
      <c r="I94">
        <v>0.88080000000000003</v>
      </c>
      <c r="J94">
        <v>1.407</v>
      </c>
      <c r="K94">
        <v>3.4470000000000001</v>
      </c>
      <c r="L94">
        <v>0</v>
      </c>
      <c r="M94">
        <v>0</v>
      </c>
      <c r="N94">
        <v>5.7951000000000003E-2</v>
      </c>
      <c r="O94">
        <v>0.408273</v>
      </c>
      <c r="P94">
        <v>1465846529304</v>
      </c>
      <c r="Q94">
        <v>1</v>
      </c>
      <c r="R94">
        <v>8.6927000000000004E-2</v>
      </c>
      <c r="S94">
        <v>34681843146</v>
      </c>
      <c r="T94">
        <v>0</v>
      </c>
    </row>
    <row r="95" spans="1:20">
      <c r="A95" t="s">
        <v>178</v>
      </c>
      <c r="B95" t="s">
        <v>64</v>
      </c>
      <c r="C95" t="s">
        <v>80</v>
      </c>
      <c r="D95" t="s">
        <v>66</v>
      </c>
      <c r="E95" t="s">
        <v>67</v>
      </c>
      <c r="F95">
        <v>665000000000</v>
      </c>
      <c r="G95">
        <v>244454703444</v>
      </c>
      <c r="H95" t="s">
        <v>68</v>
      </c>
      <c r="I95">
        <v>0.42709999999999998</v>
      </c>
      <c r="J95">
        <v>1.895</v>
      </c>
      <c r="K95">
        <v>2.4750000000000001</v>
      </c>
      <c r="L95">
        <v>35</v>
      </c>
      <c r="M95">
        <v>0</v>
      </c>
      <c r="N95">
        <v>0.19</v>
      </c>
      <c r="O95">
        <v>0.39948499999999998</v>
      </c>
      <c r="P95">
        <v>762781881377</v>
      </c>
      <c r="Q95">
        <v>2</v>
      </c>
      <c r="R95">
        <v>0.56999999999999995</v>
      </c>
      <c r="S95">
        <v>173690392711</v>
      </c>
      <c r="T95">
        <v>0</v>
      </c>
    </row>
    <row r="96" spans="1:20">
      <c r="A96" t="s">
        <v>179</v>
      </c>
      <c r="B96" t="s">
        <v>53</v>
      </c>
      <c r="C96" t="s">
        <v>95</v>
      </c>
      <c r="D96" t="s">
        <v>55</v>
      </c>
      <c r="E96" t="s">
        <v>71</v>
      </c>
      <c r="F96">
        <v>1842000000000</v>
      </c>
      <c r="G96">
        <v>750408316622</v>
      </c>
      <c r="H96" t="s">
        <v>72</v>
      </c>
      <c r="I96">
        <v>0.97899999999999998</v>
      </c>
      <c r="J96">
        <v>2.2709999999999999</v>
      </c>
      <c r="K96">
        <v>4.1360000000000001</v>
      </c>
      <c r="L96">
        <v>0</v>
      </c>
      <c r="M96">
        <v>0</v>
      </c>
      <c r="N96">
        <v>1.3636000000000001E-2</v>
      </c>
      <c r="O96">
        <v>0.59264099999999997</v>
      </c>
      <c r="P96">
        <v>2404806237466</v>
      </c>
      <c r="Q96">
        <v>1</v>
      </c>
      <c r="R96">
        <v>2.0455000000000001E-2</v>
      </c>
      <c r="S96">
        <v>19434391272</v>
      </c>
      <c r="T96">
        <v>0</v>
      </c>
    </row>
    <row r="97" spans="1:20">
      <c r="A97" t="s">
        <v>180</v>
      </c>
      <c r="B97" t="s">
        <v>59</v>
      </c>
      <c r="C97" t="s">
        <v>91</v>
      </c>
      <c r="D97" t="s">
        <v>55</v>
      </c>
      <c r="E97" t="s">
        <v>143</v>
      </c>
      <c r="F97">
        <v>407000000000</v>
      </c>
      <c r="G97">
        <v>153695137076</v>
      </c>
      <c r="H97" t="s">
        <v>72</v>
      </c>
      <c r="I97">
        <v>0.90610000000000002</v>
      </c>
      <c r="J97">
        <v>1.2270000000000001</v>
      </c>
      <c r="K97">
        <v>1.1950000000000001</v>
      </c>
      <c r="L97">
        <v>15</v>
      </c>
      <c r="M97">
        <v>0</v>
      </c>
      <c r="N97">
        <v>0.35</v>
      </c>
      <c r="O97">
        <v>0.56712499999999999</v>
      </c>
      <c r="P97">
        <v>468478054830</v>
      </c>
      <c r="Q97">
        <v>1</v>
      </c>
      <c r="R97">
        <v>0.52500000000000002</v>
      </c>
      <c r="S97">
        <v>92989995683</v>
      </c>
      <c r="T97">
        <v>0</v>
      </c>
    </row>
    <row r="98" spans="1:20">
      <c r="A98" t="s">
        <v>181</v>
      </c>
      <c r="B98" t="s">
        <v>59</v>
      </c>
      <c r="C98" t="s">
        <v>95</v>
      </c>
      <c r="D98" t="s">
        <v>66</v>
      </c>
      <c r="E98" t="s">
        <v>56</v>
      </c>
      <c r="F98">
        <v>614000000000</v>
      </c>
      <c r="G98">
        <v>151634613016</v>
      </c>
      <c r="H98" t="s">
        <v>57</v>
      </c>
      <c r="I98">
        <v>0.81510000000000005</v>
      </c>
      <c r="J98">
        <v>1.133</v>
      </c>
      <c r="K98">
        <v>4.0839999999999996</v>
      </c>
      <c r="L98">
        <v>0</v>
      </c>
      <c r="M98">
        <v>1</v>
      </c>
      <c r="N98">
        <v>7.8844999999999998E-2</v>
      </c>
      <c r="O98">
        <v>0.53527599999999997</v>
      </c>
      <c r="P98">
        <v>674653845206</v>
      </c>
      <c r="Q98">
        <v>1</v>
      </c>
      <c r="R98">
        <v>0.118267</v>
      </c>
      <c r="S98">
        <v>28472950820</v>
      </c>
      <c r="T98">
        <v>0</v>
      </c>
    </row>
    <row r="99" spans="1:20">
      <c r="A99" t="s">
        <v>182</v>
      </c>
      <c r="B99" t="s">
        <v>64</v>
      </c>
      <c r="C99" t="s">
        <v>60</v>
      </c>
      <c r="D99" t="s">
        <v>61</v>
      </c>
      <c r="E99" t="s">
        <v>67</v>
      </c>
      <c r="F99">
        <v>2112000000000</v>
      </c>
      <c r="G99">
        <v>546525103637</v>
      </c>
      <c r="H99" t="s">
        <v>84</v>
      </c>
      <c r="I99">
        <v>0.90939999999999999</v>
      </c>
      <c r="J99">
        <v>1.71</v>
      </c>
      <c r="K99">
        <v>2.0609999999999999</v>
      </c>
      <c r="L99">
        <v>0</v>
      </c>
      <c r="M99">
        <v>0</v>
      </c>
      <c r="N99">
        <v>0.12</v>
      </c>
      <c r="O99">
        <v>0.76827599999999996</v>
      </c>
      <c r="P99">
        <v>2330610041454</v>
      </c>
      <c r="Q99">
        <v>1</v>
      </c>
      <c r="R99">
        <v>0.18</v>
      </c>
      <c r="S99">
        <v>214866196139</v>
      </c>
      <c r="T99">
        <v>0</v>
      </c>
    </row>
    <row r="100" spans="1:20">
      <c r="A100" t="s">
        <v>183</v>
      </c>
      <c r="B100" t="s">
        <v>64</v>
      </c>
      <c r="C100" t="s">
        <v>74</v>
      </c>
      <c r="D100" t="s">
        <v>66</v>
      </c>
      <c r="E100" t="s">
        <v>89</v>
      </c>
      <c r="F100">
        <v>2271000000000</v>
      </c>
      <c r="G100">
        <v>20780644311</v>
      </c>
      <c r="H100" t="s">
        <v>78</v>
      </c>
      <c r="I100">
        <v>0.89180000000000004</v>
      </c>
      <c r="J100">
        <v>1.6830000000000001</v>
      </c>
      <c r="K100">
        <v>2.1739999999999999</v>
      </c>
      <c r="L100">
        <v>0</v>
      </c>
      <c r="M100">
        <v>0</v>
      </c>
      <c r="N100">
        <v>5.0000000000000001E-3</v>
      </c>
      <c r="O100">
        <v>0.41211300000000001</v>
      </c>
      <c r="P100">
        <v>2279312257724</v>
      </c>
      <c r="Q100">
        <v>1</v>
      </c>
      <c r="R100">
        <v>7.4999999999999997E-3</v>
      </c>
      <c r="S100">
        <v>4696666705</v>
      </c>
      <c r="T100">
        <v>0</v>
      </c>
    </row>
    <row r="101" spans="1:20">
      <c r="A101" t="s">
        <v>184</v>
      </c>
      <c r="B101" t="s">
        <v>59</v>
      </c>
      <c r="C101" t="s">
        <v>91</v>
      </c>
      <c r="D101" t="s">
        <v>81</v>
      </c>
      <c r="E101" t="s">
        <v>56</v>
      </c>
      <c r="F101">
        <v>2238000000000</v>
      </c>
      <c r="G101">
        <v>340950943712</v>
      </c>
      <c r="H101" t="s">
        <v>72</v>
      </c>
      <c r="I101">
        <v>0.66200000000000003</v>
      </c>
      <c r="J101">
        <v>1.1539999999999999</v>
      </c>
      <c r="K101">
        <v>1.139</v>
      </c>
      <c r="L101">
        <v>0</v>
      </c>
      <c r="M101">
        <v>0</v>
      </c>
      <c r="N101">
        <v>5.7036000000000003E-2</v>
      </c>
      <c r="O101">
        <v>0.481713</v>
      </c>
      <c r="P101">
        <v>2374380377484</v>
      </c>
      <c r="Q101">
        <v>1</v>
      </c>
      <c r="R101">
        <v>8.5554000000000005E-2</v>
      </c>
      <c r="S101">
        <v>65236372762</v>
      </c>
      <c r="T101">
        <v>0</v>
      </c>
    </row>
    <row r="102" spans="1:20">
      <c r="A102" t="s">
        <v>185</v>
      </c>
      <c r="B102" t="s">
        <v>53</v>
      </c>
      <c r="C102" t="s">
        <v>54</v>
      </c>
      <c r="D102" t="s">
        <v>61</v>
      </c>
      <c r="E102" t="s">
        <v>62</v>
      </c>
      <c r="F102">
        <v>1294000000000</v>
      </c>
      <c r="G102">
        <v>543501921625</v>
      </c>
      <c r="H102" t="s">
        <v>54</v>
      </c>
      <c r="I102">
        <v>0.15</v>
      </c>
      <c r="J102">
        <v>1.64</v>
      </c>
      <c r="K102">
        <v>2.169</v>
      </c>
      <c r="L102">
        <v>0</v>
      </c>
      <c r="M102">
        <v>1</v>
      </c>
      <c r="N102">
        <v>3.125E-2</v>
      </c>
      <c r="O102">
        <v>0.30249999999999999</v>
      </c>
      <c r="P102">
        <v>1701626441218</v>
      </c>
      <c r="Q102">
        <v>1</v>
      </c>
      <c r="R102">
        <v>4.6875E-2</v>
      </c>
      <c r="S102">
        <v>16085687452</v>
      </c>
      <c r="T102">
        <v>0</v>
      </c>
    </row>
    <row r="103" spans="1:20">
      <c r="A103" t="s">
        <v>186</v>
      </c>
      <c r="B103" t="s">
        <v>64</v>
      </c>
      <c r="C103" t="s">
        <v>91</v>
      </c>
      <c r="D103" t="s">
        <v>81</v>
      </c>
      <c r="E103" t="s">
        <v>71</v>
      </c>
      <c r="F103">
        <v>1803000000000</v>
      </c>
      <c r="G103">
        <v>725864131531</v>
      </c>
      <c r="H103" t="s">
        <v>68</v>
      </c>
      <c r="I103">
        <v>0.7198</v>
      </c>
      <c r="J103">
        <v>0.67700000000000005</v>
      </c>
      <c r="K103">
        <v>5.6680000000000001</v>
      </c>
      <c r="L103">
        <v>65</v>
      </c>
      <c r="M103">
        <v>0</v>
      </c>
      <c r="N103">
        <v>3.3863999999999998E-2</v>
      </c>
      <c r="O103">
        <v>0.50192000000000003</v>
      </c>
      <c r="P103">
        <v>2093345652612</v>
      </c>
      <c r="Q103">
        <v>2</v>
      </c>
      <c r="R103">
        <v>0.101592</v>
      </c>
      <c r="S103">
        <v>106742083588</v>
      </c>
      <c r="T103">
        <v>0</v>
      </c>
    </row>
    <row r="104" spans="1:20">
      <c r="A104" t="s">
        <v>187</v>
      </c>
      <c r="B104" t="s">
        <v>64</v>
      </c>
      <c r="C104" t="s">
        <v>83</v>
      </c>
      <c r="D104" t="s">
        <v>61</v>
      </c>
      <c r="E104" t="s">
        <v>62</v>
      </c>
      <c r="F104">
        <v>422000000000</v>
      </c>
      <c r="G104">
        <v>15205086213</v>
      </c>
      <c r="H104" t="s">
        <v>72</v>
      </c>
      <c r="I104">
        <v>0.7591</v>
      </c>
      <c r="J104">
        <v>1.401</v>
      </c>
      <c r="K104">
        <v>2.0209999999999999</v>
      </c>
      <c r="L104">
        <v>0</v>
      </c>
      <c r="M104">
        <v>1</v>
      </c>
      <c r="N104">
        <v>3.125E-2</v>
      </c>
      <c r="O104">
        <v>0.51570199999999999</v>
      </c>
      <c r="P104">
        <v>428082034485</v>
      </c>
      <c r="Q104">
        <v>1</v>
      </c>
      <c r="R104">
        <v>4.6875E-2</v>
      </c>
      <c r="S104">
        <v>6898837097</v>
      </c>
      <c r="T104">
        <v>0</v>
      </c>
    </row>
    <row r="105" spans="1:20">
      <c r="A105" t="s">
        <v>188</v>
      </c>
      <c r="B105" t="s">
        <v>59</v>
      </c>
      <c r="C105" t="s">
        <v>54</v>
      </c>
      <c r="D105" t="s">
        <v>75</v>
      </c>
      <c r="E105" t="s">
        <v>56</v>
      </c>
      <c r="F105">
        <v>1665000000000</v>
      </c>
      <c r="G105">
        <v>272210864640</v>
      </c>
      <c r="H105" t="s">
        <v>84</v>
      </c>
      <c r="I105">
        <v>0.67700000000000005</v>
      </c>
      <c r="J105">
        <v>2.0619999999999998</v>
      </c>
      <c r="K105">
        <v>1.196</v>
      </c>
      <c r="L105">
        <v>0</v>
      </c>
      <c r="M105">
        <v>1</v>
      </c>
      <c r="N105">
        <v>6.8750000000000006E-2</v>
      </c>
      <c r="O105">
        <v>0.68695700000000004</v>
      </c>
      <c r="P105">
        <v>1773884345856</v>
      </c>
      <c r="Q105">
        <v>1</v>
      </c>
      <c r="R105">
        <v>0.10312499999999999</v>
      </c>
      <c r="S105">
        <v>83777530012</v>
      </c>
      <c r="T105">
        <v>0</v>
      </c>
    </row>
    <row r="106" spans="1:20">
      <c r="A106" t="s">
        <v>189</v>
      </c>
      <c r="B106" t="s">
        <v>64</v>
      </c>
      <c r="C106" t="s">
        <v>91</v>
      </c>
      <c r="D106" t="s">
        <v>81</v>
      </c>
      <c r="E106" t="s">
        <v>67</v>
      </c>
      <c r="F106">
        <v>134000000000</v>
      </c>
      <c r="G106">
        <v>36487218179</v>
      </c>
      <c r="H106" t="s">
        <v>78</v>
      </c>
      <c r="I106">
        <v>0.63980000000000004</v>
      </c>
      <c r="J106">
        <v>0.59</v>
      </c>
      <c r="K106">
        <v>1.552</v>
      </c>
      <c r="L106">
        <v>0</v>
      </c>
      <c r="M106">
        <v>0</v>
      </c>
      <c r="N106">
        <v>0.178561</v>
      </c>
      <c r="O106">
        <v>0.32392100000000001</v>
      </c>
      <c r="P106">
        <v>148594887271</v>
      </c>
      <c r="Q106">
        <v>1</v>
      </c>
      <c r="R106">
        <v>0.267841</v>
      </c>
      <c r="S106">
        <v>8594670736</v>
      </c>
      <c r="T106">
        <v>0</v>
      </c>
    </row>
    <row r="107" spans="1:20">
      <c r="A107" t="s">
        <v>190</v>
      </c>
      <c r="B107" t="s">
        <v>64</v>
      </c>
      <c r="C107" t="s">
        <v>65</v>
      </c>
      <c r="D107" t="s">
        <v>55</v>
      </c>
      <c r="E107" t="s">
        <v>56</v>
      </c>
      <c r="F107">
        <v>484000000000</v>
      </c>
      <c r="G107">
        <v>57014960160</v>
      </c>
      <c r="H107" t="s">
        <v>78</v>
      </c>
      <c r="I107">
        <v>0.74</v>
      </c>
      <c r="J107">
        <v>1.7609999999999999</v>
      </c>
      <c r="K107">
        <v>4.7190000000000003</v>
      </c>
      <c r="L107">
        <v>65</v>
      </c>
      <c r="M107">
        <v>0</v>
      </c>
      <c r="N107">
        <v>0.12592900000000001</v>
      </c>
      <c r="O107">
        <v>0.35899799999999998</v>
      </c>
      <c r="P107">
        <v>506805984064</v>
      </c>
      <c r="Q107">
        <v>2</v>
      </c>
      <c r="R107">
        <v>0.37778600000000001</v>
      </c>
      <c r="S107">
        <v>68735275176</v>
      </c>
      <c r="T107">
        <v>0</v>
      </c>
    </row>
    <row r="108" spans="1:20">
      <c r="A108" t="s">
        <v>191</v>
      </c>
      <c r="B108" t="s">
        <v>86</v>
      </c>
      <c r="C108" t="s">
        <v>65</v>
      </c>
      <c r="D108" t="s">
        <v>81</v>
      </c>
      <c r="E108" t="s">
        <v>71</v>
      </c>
      <c r="F108">
        <v>1311000000000</v>
      </c>
      <c r="G108">
        <v>393992084398</v>
      </c>
      <c r="H108" t="s">
        <v>84</v>
      </c>
      <c r="I108">
        <v>0.78639999999999999</v>
      </c>
      <c r="J108">
        <v>1.127</v>
      </c>
      <c r="K108">
        <v>2.903</v>
      </c>
      <c r="L108">
        <v>5</v>
      </c>
      <c r="M108">
        <v>0</v>
      </c>
      <c r="N108">
        <v>1.3698E-2</v>
      </c>
      <c r="O108">
        <v>0.72525300000000004</v>
      </c>
      <c r="P108">
        <v>1606494063298</v>
      </c>
      <c r="Q108">
        <v>1</v>
      </c>
      <c r="R108">
        <v>2.0546999999999999E-2</v>
      </c>
      <c r="S108">
        <v>15959779498</v>
      </c>
      <c r="T108">
        <v>0</v>
      </c>
    </row>
    <row r="109" spans="1:20">
      <c r="A109" t="s">
        <v>192</v>
      </c>
      <c r="B109" t="s">
        <v>59</v>
      </c>
      <c r="C109" t="s">
        <v>83</v>
      </c>
      <c r="D109" t="s">
        <v>97</v>
      </c>
      <c r="E109" t="s">
        <v>143</v>
      </c>
      <c r="F109">
        <v>109000000000</v>
      </c>
      <c r="G109">
        <v>17701974523</v>
      </c>
      <c r="H109" t="s">
        <v>68</v>
      </c>
      <c r="I109">
        <v>1.1129</v>
      </c>
      <c r="J109">
        <v>1.2450000000000001</v>
      </c>
      <c r="K109">
        <v>2.5110000000000001</v>
      </c>
      <c r="L109">
        <v>35</v>
      </c>
      <c r="M109">
        <v>0</v>
      </c>
      <c r="N109">
        <v>0.44333299999999998</v>
      </c>
      <c r="O109">
        <v>0.63950300000000004</v>
      </c>
      <c r="P109">
        <v>116080789809</v>
      </c>
      <c r="Q109">
        <v>2</v>
      </c>
      <c r="R109">
        <v>0.99</v>
      </c>
      <c r="S109">
        <v>73491700224</v>
      </c>
      <c r="T109">
        <v>0</v>
      </c>
    </row>
    <row r="110" spans="1:20">
      <c r="A110" t="s">
        <v>193</v>
      </c>
      <c r="B110" t="s">
        <v>53</v>
      </c>
      <c r="C110" t="s">
        <v>80</v>
      </c>
      <c r="D110" t="s">
        <v>97</v>
      </c>
      <c r="E110" t="s">
        <v>62</v>
      </c>
      <c r="F110">
        <v>515000000000</v>
      </c>
      <c r="G110">
        <v>225349002778</v>
      </c>
      <c r="H110" t="s">
        <v>54</v>
      </c>
      <c r="I110">
        <v>0.5131</v>
      </c>
      <c r="J110">
        <v>1.331</v>
      </c>
      <c r="K110">
        <v>2.653</v>
      </c>
      <c r="L110">
        <v>5</v>
      </c>
      <c r="M110">
        <v>0</v>
      </c>
      <c r="N110">
        <v>2.7082999999999999E-2</v>
      </c>
      <c r="O110">
        <v>0.42958299999999999</v>
      </c>
      <c r="P110">
        <v>684011752083</v>
      </c>
      <c r="Q110">
        <v>1</v>
      </c>
      <c r="R110">
        <v>4.0625000000000001E-2</v>
      </c>
      <c r="S110">
        <v>7958170451</v>
      </c>
      <c r="T110">
        <v>0</v>
      </c>
    </row>
    <row r="111" spans="1:20">
      <c r="A111" t="s">
        <v>194</v>
      </c>
      <c r="B111" t="s">
        <v>53</v>
      </c>
      <c r="C111" t="s">
        <v>54</v>
      </c>
      <c r="D111" t="s">
        <v>88</v>
      </c>
      <c r="E111" t="s">
        <v>67</v>
      </c>
      <c r="F111">
        <v>628000000000</v>
      </c>
      <c r="G111">
        <v>85945595797</v>
      </c>
      <c r="H111" t="s">
        <v>78</v>
      </c>
      <c r="I111">
        <v>0.60840000000000005</v>
      </c>
      <c r="J111">
        <v>2.4750000000000001</v>
      </c>
      <c r="K111">
        <v>5.9829999999999997</v>
      </c>
      <c r="L111">
        <v>0</v>
      </c>
      <c r="M111">
        <v>0</v>
      </c>
      <c r="N111">
        <v>0.16295799999999999</v>
      </c>
      <c r="O111">
        <v>0.31294899999999998</v>
      </c>
      <c r="P111">
        <v>692459196847</v>
      </c>
      <c r="Q111">
        <v>1</v>
      </c>
      <c r="R111">
        <v>0.24443699999999999</v>
      </c>
      <c r="S111">
        <v>35313659081</v>
      </c>
      <c r="T111">
        <v>0</v>
      </c>
    </row>
    <row r="112" spans="1:20">
      <c r="A112" t="s">
        <v>195</v>
      </c>
      <c r="B112" t="s">
        <v>59</v>
      </c>
      <c r="C112" t="s">
        <v>70</v>
      </c>
      <c r="D112" t="s">
        <v>81</v>
      </c>
      <c r="E112" t="s">
        <v>143</v>
      </c>
      <c r="F112">
        <v>2518000000000</v>
      </c>
      <c r="G112">
        <v>604483955530</v>
      </c>
      <c r="H112" t="s">
        <v>72</v>
      </c>
      <c r="I112">
        <v>0.72850000000000004</v>
      </c>
      <c r="J112">
        <v>1.7949999999999999</v>
      </c>
      <c r="K112">
        <v>3.956</v>
      </c>
      <c r="L112">
        <v>0</v>
      </c>
      <c r="M112">
        <v>1</v>
      </c>
      <c r="N112">
        <v>0.38213200000000003</v>
      </c>
      <c r="O112">
        <v>0.50496200000000002</v>
      </c>
      <c r="P112">
        <v>2759793582212</v>
      </c>
      <c r="Q112">
        <v>1</v>
      </c>
      <c r="R112">
        <v>0.57319799999999999</v>
      </c>
      <c r="S112">
        <v>532535518597</v>
      </c>
      <c r="T112">
        <v>0</v>
      </c>
    </row>
    <row r="113" spans="1:20">
      <c r="A113" t="s">
        <v>196</v>
      </c>
      <c r="B113" t="s">
        <v>59</v>
      </c>
      <c r="C113" t="s">
        <v>60</v>
      </c>
      <c r="D113" t="s">
        <v>61</v>
      </c>
      <c r="E113" t="s">
        <v>89</v>
      </c>
      <c r="F113">
        <v>2345000000000</v>
      </c>
      <c r="G113">
        <v>439603203460</v>
      </c>
      <c r="H113" t="s">
        <v>57</v>
      </c>
      <c r="I113">
        <v>0.58169999999999999</v>
      </c>
      <c r="J113">
        <v>1.385</v>
      </c>
      <c r="K113">
        <v>1.94</v>
      </c>
      <c r="L113">
        <v>65</v>
      </c>
      <c r="M113">
        <v>0</v>
      </c>
      <c r="N113">
        <v>1.0416999999999999E-2</v>
      </c>
      <c r="O113">
        <v>0.453592</v>
      </c>
      <c r="P113">
        <v>2520841281384</v>
      </c>
      <c r="Q113">
        <v>2</v>
      </c>
      <c r="R113">
        <v>3.125E-2</v>
      </c>
      <c r="S113">
        <v>35732263272</v>
      </c>
      <c r="T113">
        <v>0</v>
      </c>
    </row>
    <row r="114" spans="1:20">
      <c r="A114" t="s">
        <v>197</v>
      </c>
      <c r="B114" t="s">
        <v>59</v>
      </c>
      <c r="C114" t="s">
        <v>54</v>
      </c>
      <c r="D114" t="s">
        <v>61</v>
      </c>
      <c r="E114" t="s">
        <v>62</v>
      </c>
      <c r="F114">
        <v>1985000000000</v>
      </c>
      <c r="G114">
        <v>414862957432</v>
      </c>
      <c r="H114" t="s">
        <v>68</v>
      </c>
      <c r="I114">
        <v>0.79020000000000001</v>
      </c>
      <c r="J114">
        <v>2.0579999999999998</v>
      </c>
      <c r="K114">
        <v>3.992</v>
      </c>
      <c r="L114">
        <v>0</v>
      </c>
      <c r="M114">
        <v>1</v>
      </c>
      <c r="N114">
        <v>3.4224999999999998E-2</v>
      </c>
      <c r="O114">
        <v>0.52656999999999998</v>
      </c>
      <c r="P114">
        <v>2150945182972</v>
      </c>
      <c r="Q114">
        <v>1</v>
      </c>
      <c r="R114">
        <v>5.1337000000000001E-2</v>
      </c>
      <c r="S114">
        <v>38763531720</v>
      </c>
      <c r="T114">
        <v>0</v>
      </c>
    </row>
    <row r="115" spans="1:20">
      <c r="A115" t="s">
        <v>198</v>
      </c>
      <c r="B115" t="s">
        <v>59</v>
      </c>
      <c r="C115" t="s">
        <v>95</v>
      </c>
      <c r="D115" t="s">
        <v>88</v>
      </c>
      <c r="E115" t="s">
        <v>62</v>
      </c>
      <c r="F115">
        <v>579000000000</v>
      </c>
      <c r="G115">
        <v>25224276074</v>
      </c>
      <c r="H115" t="s">
        <v>57</v>
      </c>
      <c r="I115">
        <v>0.83620000000000005</v>
      </c>
      <c r="J115">
        <v>1.665</v>
      </c>
      <c r="K115">
        <v>4.5350000000000001</v>
      </c>
      <c r="L115">
        <v>35</v>
      </c>
      <c r="M115">
        <v>0</v>
      </c>
      <c r="N115">
        <v>4.4186999999999997E-2</v>
      </c>
      <c r="O115">
        <v>0.54265600000000003</v>
      </c>
      <c r="P115">
        <v>589089710429</v>
      </c>
      <c r="Q115">
        <v>2</v>
      </c>
      <c r="R115">
        <v>0.13256200000000001</v>
      </c>
      <c r="S115">
        <v>42376627474</v>
      </c>
      <c r="T115">
        <v>0</v>
      </c>
    </row>
    <row r="116" spans="1:20">
      <c r="A116" t="s">
        <v>199</v>
      </c>
      <c r="B116" t="s">
        <v>64</v>
      </c>
      <c r="C116" t="s">
        <v>83</v>
      </c>
      <c r="D116" t="s">
        <v>61</v>
      </c>
      <c r="E116" t="s">
        <v>62</v>
      </c>
      <c r="F116">
        <v>1914000000000</v>
      </c>
      <c r="G116">
        <v>429581736842</v>
      </c>
      <c r="H116" t="s">
        <v>78</v>
      </c>
      <c r="I116">
        <v>0.83440000000000003</v>
      </c>
      <c r="J116">
        <v>1.911</v>
      </c>
      <c r="K116">
        <v>4.7640000000000002</v>
      </c>
      <c r="L116">
        <v>0</v>
      </c>
      <c r="M116">
        <v>0</v>
      </c>
      <c r="N116">
        <v>3.0291999999999999E-2</v>
      </c>
      <c r="O116">
        <v>0.39204899999999998</v>
      </c>
      <c r="P116">
        <v>2085832694736</v>
      </c>
      <c r="Q116">
        <v>1</v>
      </c>
      <c r="R116">
        <v>4.5437999999999999E-2</v>
      </c>
      <c r="S116">
        <v>24771109281</v>
      </c>
      <c r="T116">
        <v>0</v>
      </c>
    </row>
    <row r="117" spans="1:20">
      <c r="A117" t="s">
        <v>200</v>
      </c>
      <c r="B117" t="s">
        <v>64</v>
      </c>
      <c r="C117" t="s">
        <v>95</v>
      </c>
      <c r="D117" t="s">
        <v>66</v>
      </c>
      <c r="E117" t="s">
        <v>56</v>
      </c>
      <c r="F117">
        <v>2981000000000</v>
      </c>
      <c r="G117">
        <v>490672414876</v>
      </c>
      <c r="H117" t="s">
        <v>72</v>
      </c>
      <c r="I117">
        <v>0.82110000000000005</v>
      </c>
      <c r="J117">
        <v>1.663</v>
      </c>
      <c r="K117">
        <v>3.4430000000000001</v>
      </c>
      <c r="L117">
        <v>0</v>
      </c>
      <c r="M117">
        <v>0</v>
      </c>
      <c r="N117">
        <v>5.7925999999999998E-2</v>
      </c>
      <c r="O117">
        <v>0.53737599999999996</v>
      </c>
      <c r="P117">
        <v>3177268965950</v>
      </c>
      <c r="Q117">
        <v>1</v>
      </c>
      <c r="R117">
        <v>8.6888999999999994E-2</v>
      </c>
      <c r="S117">
        <v>98901764398</v>
      </c>
      <c r="T117">
        <v>0</v>
      </c>
    </row>
    <row r="118" spans="1:20">
      <c r="A118" t="s">
        <v>201</v>
      </c>
      <c r="B118" t="s">
        <v>64</v>
      </c>
      <c r="C118" t="s">
        <v>60</v>
      </c>
      <c r="D118" t="s">
        <v>88</v>
      </c>
      <c r="E118" t="s">
        <v>56</v>
      </c>
      <c r="F118">
        <v>529000000000</v>
      </c>
      <c r="G118">
        <v>232118464209</v>
      </c>
      <c r="H118" t="s">
        <v>54</v>
      </c>
      <c r="I118">
        <v>0.37019999999999997</v>
      </c>
      <c r="J118">
        <v>2.4049999999999998</v>
      </c>
      <c r="K118">
        <v>1.4419999999999999</v>
      </c>
      <c r="L118">
        <v>0</v>
      </c>
      <c r="M118">
        <v>0</v>
      </c>
      <c r="N118">
        <v>5.5E-2</v>
      </c>
      <c r="O118">
        <v>0.37957400000000002</v>
      </c>
      <c r="P118">
        <v>621847385683</v>
      </c>
      <c r="Q118">
        <v>1</v>
      </c>
      <c r="R118">
        <v>8.2500000000000004E-2</v>
      </c>
      <c r="S118">
        <v>12982029931</v>
      </c>
      <c r="T118">
        <v>0</v>
      </c>
    </row>
    <row r="119" spans="1:20">
      <c r="A119" t="s">
        <v>202</v>
      </c>
      <c r="B119" t="s">
        <v>64</v>
      </c>
      <c r="C119" t="s">
        <v>65</v>
      </c>
      <c r="D119" t="s">
        <v>66</v>
      </c>
      <c r="E119" t="s">
        <v>62</v>
      </c>
      <c r="F119">
        <v>2485000000000</v>
      </c>
      <c r="G119">
        <v>998744514666</v>
      </c>
      <c r="H119" t="s">
        <v>57</v>
      </c>
      <c r="I119">
        <v>0.71679999999999999</v>
      </c>
      <c r="J119">
        <v>2.613</v>
      </c>
      <c r="K119">
        <v>5.694</v>
      </c>
      <c r="L119">
        <v>0</v>
      </c>
      <c r="M119">
        <v>1</v>
      </c>
      <c r="N119">
        <v>3.9331999999999999E-2</v>
      </c>
      <c r="O119">
        <v>0.50088299999999997</v>
      </c>
      <c r="P119">
        <v>2884497805866</v>
      </c>
      <c r="Q119">
        <v>1</v>
      </c>
      <c r="R119">
        <v>5.8998000000000002E-2</v>
      </c>
      <c r="S119">
        <v>56827159944</v>
      </c>
      <c r="T119">
        <v>0</v>
      </c>
    </row>
    <row r="120" spans="1:20">
      <c r="A120" t="s">
        <v>203</v>
      </c>
      <c r="B120" t="s">
        <v>53</v>
      </c>
      <c r="C120" t="s">
        <v>65</v>
      </c>
      <c r="D120" t="s">
        <v>97</v>
      </c>
      <c r="E120" t="s">
        <v>56</v>
      </c>
      <c r="F120">
        <v>1947000000000</v>
      </c>
      <c r="G120">
        <v>714718340246</v>
      </c>
      <c r="H120" t="s">
        <v>72</v>
      </c>
      <c r="I120">
        <v>0.64729999999999999</v>
      </c>
      <c r="J120">
        <v>2.4060000000000001</v>
      </c>
      <c r="K120">
        <v>5.0389999999999997</v>
      </c>
      <c r="L120">
        <v>5</v>
      </c>
      <c r="M120">
        <v>0</v>
      </c>
      <c r="N120">
        <v>7.3039000000000007E-2</v>
      </c>
      <c r="O120">
        <v>0.47656599999999999</v>
      </c>
      <c r="P120">
        <v>2483038755184</v>
      </c>
      <c r="Q120">
        <v>1</v>
      </c>
      <c r="R120">
        <v>0.109558</v>
      </c>
      <c r="S120">
        <v>86429022663</v>
      </c>
      <c r="T120">
        <v>0</v>
      </c>
    </row>
    <row r="121" spans="1:20">
      <c r="A121" t="s">
        <v>204</v>
      </c>
      <c r="B121" t="s">
        <v>64</v>
      </c>
      <c r="C121" t="s">
        <v>54</v>
      </c>
      <c r="D121" t="s">
        <v>55</v>
      </c>
      <c r="E121" t="s">
        <v>62</v>
      </c>
      <c r="F121">
        <v>2149000000000</v>
      </c>
      <c r="G121">
        <v>608298859449</v>
      </c>
      <c r="H121" t="s">
        <v>57</v>
      </c>
      <c r="I121">
        <v>0.5423</v>
      </c>
      <c r="J121">
        <v>1.03</v>
      </c>
      <c r="K121">
        <v>1.365</v>
      </c>
      <c r="L121">
        <v>0</v>
      </c>
      <c r="M121">
        <v>2</v>
      </c>
      <c r="N121">
        <v>4.0905999999999998E-2</v>
      </c>
      <c r="O121">
        <v>0.43979000000000001</v>
      </c>
      <c r="P121">
        <v>2392319543779</v>
      </c>
      <c r="Q121">
        <v>2</v>
      </c>
      <c r="R121">
        <v>0.12271799999999999</v>
      </c>
      <c r="S121">
        <v>129113833404</v>
      </c>
      <c r="T121">
        <v>0</v>
      </c>
    </row>
    <row r="122" spans="1:20">
      <c r="A122" t="s">
        <v>205</v>
      </c>
      <c r="B122" t="s">
        <v>64</v>
      </c>
      <c r="C122" t="s">
        <v>83</v>
      </c>
      <c r="D122" t="s">
        <v>61</v>
      </c>
      <c r="E122" t="s">
        <v>62</v>
      </c>
      <c r="F122">
        <v>1682000000000</v>
      </c>
      <c r="G122">
        <v>379827183040</v>
      </c>
      <c r="H122" t="s">
        <v>57</v>
      </c>
      <c r="I122">
        <v>0.67730000000000001</v>
      </c>
      <c r="J122">
        <v>1.4</v>
      </c>
      <c r="K122">
        <v>4.508</v>
      </c>
      <c r="L122">
        <v>0</v>
      </c>
      <c r="M122">
        <v>3</v>
      </c>
      <c r="N122">
        <v>4.8273999999999997E-2</v>
      </c>
      <c r="O122">
        <v>0.48704900000000001</v>
      </c>
      <c r="P122">
        <v>1833930873216</v>
      </c>
      <c r="Q122">
        <v>2</v>
      </c>
      <c r="R122">
        <v>0.14482300000000001</v>
      </c>
      <c r="S122">
        <v>129357570068</v>
      </c>
      <c r="T122">
        <v>0</v>
      </c>
    </row>
    <row r="123" spans="1:20">
      <c r="A123" t="s">
        <v>206</v>
      </c>
      <c r="B123" t="s">
        <v>86</v>
      </c>
      <c r="C123" t="s">
        <v>65</v>
      </c>
      <c r="D123" t="s">
        <v>61</v>
      </c>
      <c r="E123" t="s">
        <v>143</v>
      </c>
      <c r="F123">
        <v>2239000000000</v>
      </c>
      <c r="G123">
        <v>356961855409</v>
      </c>
      <c r="H123" t="s">
        <v>72</v>
      </c>
      <c r="I123">
        <v>0.61739999999999995</v>
      </c>
      <c r="J123">
        <v>1.921</v>
      </c>
      <c r="K123">
        <v>0.98499999999999999</v>
      </c>
      <c r="L123">
        <v>0</v>
      </c>
      <c r="M123">
        <v>0</v>
      </c>
      <c r="N123">
        <v>0.28000000000000003</v>
      </c>
      <c r="O123">
        <v>0.46609499999999998</v>
      </c>
      <c r="P123">
        <v>2506721391556</v>
      </c>
      <c r="Q123">
        <v>1</v>
      </c>
      <c r="R123">
        <v>0.42</v>
      </c>
      <c r="S123">
        <v>327143433059</v>
      </c>
      <c r="T123">
        <v>0</v>
      </c>
    </row>
    <row r="124" spans="1:20">
      <c r="A124" t="s">
        <v>207</v>
      </c>
      <c r="B124" t="s">
        <v>53</v>
      </c>
      <c r="C124" t="s">
        <v>70</v>
      </c>
      <c r="D124" t="s">
        <v>66</v>
      </c>
      <c r="E124" t="s">
        <v>62</v>
      </c>
      <c r="F124">
        <v>851000000000</v>
      </c>
      <c r="G124">
        <v>264327374133</v>
      </c>
      <c r="H124" t="s">
        <v>84</v>
      </c>
      <c r="I124">
        <v>0.62190000000000001</v>
      </c>
      <c r="J124">
        <v>1.843</v>
      </c>
      <c r="K124">
        <v>0.2</v>
      </c>
      <c r="L124">
        <v>0</v>
      </c>
      <c r="M124">
        <v>0</v>
      </c>
      <c r="N124">
        <v>2.5000000000000001E-2</v>
      </c>
      <c r="O124">
        <v>0.66766099999999995</v>
      </c>
      <c r="P124">
        <v>1049245530599</v>
      </c>
      <c r="Q124">
        <v>1</v>
      </c>
      <c r="R124">
        <v>3.7499999999999999E-2</v>
      </c>
      <c r="S124">
        <v>17513511240</v>
      </c>
      <c r="T124">
        <v>0</v>
      </c>
    </row>
    <row r="125" spans="1:20">
      <c r="A125" t="s">
        <v>208</v>
      </c>
      <c r="B125" t="s">
        <v>59</v>
      </c>
      <c r="C125" t="s">
        <v>83</v>
      </c>
      <c r="D125" t="s">
        <v>75</v>
      </c>
      <c r="E125" t="s">
        <v>62</v>
      </c>
      <c r="F125">
        <v>2927000000000</v>
      </c>
      <c r="G125">
        <v>104093621640</v>
      </c>
      <c r="H125" t="s">
        <v>72</v>
      </c>
      <c r="I125">
        <v>0.68779999999999997</v>
      </c>
      <c r="J125">
        <v>2.5139999999999998</v>
      </c>
      <c r="K125">
        <v>2.2599999999999998</v>
      </c>
      <c r="L125">
        <v>15</v>
      </c>
      <c r="M125">
        <v>0</v>
      </c>
      <c r="N125">
        <v>3.125E-2</v>
      </c>
      <c r="O125">
        <v>0.49074099999999998</v>
      </c>
      <c r="P125">
        <v>2968637448656</v>
      </c>
      <c r="Q125">
        <v>1</v>
      </c>
      <c r="R125">
        <v>4.6875E-2</v>
      </c>
      <c r="S125">
        <v>45525970198</v>
      </c>
      <c r="T125">
        <v>0</v>
      </c>
    </row>
    <row r="126" spans="1:20">
      <c r="A126" t="s">
        <v>209</v>
      </c>
      <c r="B126" t="s">
        <v>59</v>
      </c>
      <c r="C126" t="s">
        <v>60</v>
      </c>
      <c r="D126" t="s">
        <v>55</v>
      </c>
      <c r="E126" t="s">
        <v>71</v>
      </c>
      <c r="F126">
        <v>2745000000000</v>
      </c>
      <c r="G126">
        <v>1118128771872</v>
      </c>
      <c r="H126" t="s">
        <v>54</v>
      </c>
      <c r="I126">
        <v>0.67220000000000002</v>
      </c>
      <c r="J126">
        <v>2.1960000000000002</v>
      </c>
      <c r="K126">
        <v>4.2130000000000001</v>
      </c>
      <c r="L126">
        <v>0</v>
      </c>
      <c r="M126">
        <v>2</v>
      </c>
      <c r="N126">
        <v>1.9747000000000001E-2</v>
      </c>
      <c r="O126">
        <v>0.48526000000000002</v>
      </c>
      <c r="P126">
        <v>3192251508748</v>
      </c>
      <c r="Q126">
        <v>2</v>
      </c>
      <c r="R126">
        <v>5.9241000000000002E-2</v>
      </c>
      <c r="S126">
        <v>91769287370</v>
      </c>
      <c r="T126">
        <v>0</v>
      </c>
    </row>
    <row r="127" spans="1:20">
      <c r="A127" t="s">
        <v>210</v>
      </c>
      <c r="B127" t="s">
        <v>64</v>
      </c>
      <c r="C127" t="s">
        <v>65</v>
      </c>
      <c r="D127" t="s">
        <v>55</v>
      </c>
      <c r="E127" t="s">
        <v>56</v>
      </c>
      <c r="F127">
        <v>1178000000000</v>
      </c>
      <c r="G127">
        <v>170250998893</v>
      </c>
      <c r="H127" t="s">
        <v>57</v>
      </c>
      <c r="I127">
        <v>0.9022</v>
      </c>
      <c r="J127">
        <v>1.069</v>
      </c>
      <c r="K127">
        <v>0.77300000000000002</v>
      </c>
      <c r="L127">
        <v>0</v>
      </c>
      <c r="M127">
        <v>1</v>
      </c>
      <c r="N127">
        <v>7.4510000000000007E-2</v>
      </c>
      <c r="O127">
        <v>0.56576099999999996</v>
      </c>
      <c r="P127">
        <v>1246100399557</v>
      </c>
      <c r="Q127">
        <v>1</v>
      </c>
      <c r="R127">
        <v>0.111765</v>
      </c>
      <c r="S127">
        <v>52529227337</v>
      </c>
      <c r="T127">
        <v>0</v>
      </c>
    </row>
    <row r="128" spans="1:20">
      <c r="A128" t="s">
        <v>211</v>
      </c>
      <c r="B128" t="s">
        <v>86</v>
      </c>
      <c r="C128" t="s">
        <v>83</v>
      </c>
      <c r="D128" t="s">
        <v>88</v>
      </c>
      <c r="E128" t="s">
        <v>67</v>
      </c>
      <c r="F128">
        <v>1628000000000</v>
      </c>
      <c r="G128">
        <v>577259957447</v>
      </c>
      <c r="H128" t="s">
        <v>54</v>
      </c>
      <c r="I128">
        <v>0.77949999999999997</v>
      </c>
      <c r="J128">
        <v>2.6419999999999999</v>
      </c>
      <c r="K128">
        <v>4.0039999999999996</v>
      </c>
      <c r="L128">
        <v>0</v>
      </c>
      <c r="M128">
        <v>2</v>
      </c>
      <c r="N128">
        <v>0.194463</v>
      </c>
      <c r="O128">
        <v>0.52284200000000003</v>
      </c>
      <c r="P128">
        <v>2060944968085</v>
      </c>
      <c r="Q128">
        <v>2</v>
      </c>
      <c r="R128">
        <v>0.58338900000000005</v>
      </c>
      <c r="S128">
        <v>628630053455</v>
      </c>
      <c r="T128">
        <v>0</v>
      </c>
    </row>
    <row r="129" spans="1:20">
      <c r="A129" t="s">
        <v>212</v>
      </c>
      <c r="B129" t="s">
        <v>53</v>
      </c>
      <c r="C129" t="s">
        <v>65</v>
      </c>
      <c r="D129" t="s">
        <v>97</v>
      </c>
      <c r="E129" t="s">
        <v>56</v>
      </c>
      <c r="F129">
        <v>2067000000000</v>
      </c>
      <c r="G129">
        <v>435329518291</v>
      </c>
      <c r="H129" t="s">
        <v>57</v>
      </c>
      <c r="I129">
        <v>0.88929999999999998</v>
      </c>
      <c r="J129">
        <v>1.895</v>
      </c>
      <c r="K129">
        <v>3.8410000000000002</v>
      </c>
      <c r="L129">
        <v>0</v>
      </c>
      <c r="M129">
        <v>0</v>
      </c>
      <c r="N129">
        <v>6.0548999999999999E-2</v>
      </c>
      <c r="O129">
        <v>0.56124499999999999</v>
      </c>
      <c r="P129">
        <v>2393497138718</v>
      </c>
      <c r="Q129">
        <v>1</v>
      </c>
      <c r="R129">
        <v>9.0823000000000001E-2</v>
      </c>
      <c r="S129">
        <v>81337720518</v>
      </c>
      <c r="T129">
        <v>0</v>
      </c>
    </row>
    <row r="130" spans="1:20">
      <c r="A130" t="s">
        <v>213</v>
      </c>
      <c r="B130" t="s">
        <v>59</v>
      </c>
      <c r="C130" t="s">
        <v>77</v>
      </c>
      <c r="D130" t="s">
        <v>61</v>
      </c>
      <c r="E130" t="s">
        <v>56</v>
      </c>
      <c r="F130">
        <v>1662000000000</v>
      </c>
      <c r="G130">
        <v>618505690324</v>
      </c>
      <c r="H130" t="s">
        <v>84</v>
      </c>
      <c r="I130">
        <v>0.76519999999999999</v>
      </c>
      <c r="J130">
        <v>1.778</v>
      </c>
      <c r="K130">
        <v>2.7650000000000001</v>
      </c>
      <c r="L130">
        <v>0</v>
      </c>
      <c r="M130">
        <v>0</v>
      </c>
      <c r="N130">
        <v>5.5E-2</v>
      </c>
      <c r="O130">
        <v>0.71781799999999996</v>
      </c>
      <c r="P130">
        <v>1909402276129</v>
      </c>
      <c r="Q130">
        <v>1</v>
      </c>
      <c r="R130">
        <v>8.2500000000000004E-2</v>
      </c>
      <c r="S130">
        <v>75383212410</v>
      </c>
      <c r="T130">
        <v>0</v>
      </c>
    </row>
    <row r="131" spans="1:20">
      <c r="A131" t="s">
        <v>214</v>
      </c>
      <c r="B131" t="s">
        <v>59</v>
      </c>
      <c r="C131" t="s">
        <v>60</v>
      </c>
      <c r="D131" t="s">
        <v>88</v>
      </c>
      <c r="E131" t="s">
        <v>62</v>
      </c>
      <c r="F131">
        <v>1474000000000</v>
      </c>
      <c r="G131">
        <v>459513406027</v>
      </c>
      <c r="H131" t="s">
        <v>84</v>
      </c>
      <c r="I131">
        <v>0.98670000000000002</v>
      </c>
      <c r="J131">
        <v>2.0550000000000002</v>
      </c>
      <c r="K131">
        <v>3.4670000000000001</v>
      </c>
      <c r="L131">
        <v>0</v>
      </c>
      <c r="M131">
        <v>2</v>
      </c>
      <c r="N131">
        <v>3.8901999999999999E-2</v>
      </c>
      <c r="O131">
        <v>0.795346</v>
      </c>
      <c r="P131">
        <v>1657805362410</v>
      </c>
      <c r="Q131">
        <v>2</v>
      </c>
      <c r="R131">
        <v>0.116705</v>
      </c>
      <c r="S131">
        <v>153878834118</v>
      </c>
      <c r="T131">
        <v>0</v>
      </c>
    </row>
    <row r="132" spans="1:20">
      <c r="A132" t="s">
        <v>215</v>
      </c>
      <c r="B132" t="s">
        <v>64</v>
      </c>
      <c r="C132" t="s">
        <v>70</v>
      </c>
      <c r="D132" t="s">
        <v>88</v>
      </c>
      <c r="E132" t="s">
        <v>71</v>
      </c>
      <c r="F132">
        <v>899000000000</v>
      </c>
      <c r="G132">
        <v>387300205184</v>
      </c>
      <c r="H132" t="s">
        <v>57</v>
      </c>
      <c r="I132">
        <v>0.63170000000000004</v>
      </c>
      <c r="J132">
        <v>1.883</v>
      </c>
      <c r="K132">
        <v>4.5510000000000002</v>
      </c>
      <c r="L132">
        <v>15</v>
      </c>
      <c r="M132">
        <v>1</v>
      </c>
      <c r="N132">
        <v>2.0233000000000001E-2</v>
      </c>
      <c r="O132">
        <v>0.47110099999999999</v>
      </c>
      <c r="P132">
        <v>1053920082073</v>
      </c>
      <c r="Q132">
        <v>1</v>
      </c>
      <c r="R132">
        <v>3.0349999999999999E-2</v>
      </c>
      <c r="S132">
        <v>10045847707</v>
      </c>
      <c r="T132">
        <v>0</v>
      </c>
    </row>
    <row r="133" spans="1:20">
      <c r="A133" t="s">
        <v>216</v>
      </c>
      <c r="B133" t="s">
        <v>64</v>
      </c>
      <c r="C133" t="s">
        <v>95</v>
      </c>
      <c r="D133" t="s">
        <v>55</v>
      </c>
      <c r="E133" t="s">
        <v>67</v>
      </c>
      <c r="F133">
        <v>2884000000000</v>
      </c>
      <c r="G133">
        <v>469524402370</v>
      </c>
      <c r="H133" t="s">
        <v>78</v>
      </c>
      <c r="I133">
        <v>0.42820000000000003</v>
      </c>
      <c r="J133">
        <v>2.0329999999999999</v>
      </c>
      <c r="K133">
        <v>2.8610000000000002</v>
      </c>
      <c r="L133">
        <v>0</v>
      </c>
      <c r="M133">
        <v>0</v>
      </c>
      <c r="N133">
        <v>0.12</v>
      </c>
      <c r="O133">
        <v>0.24987599999999999</v>
      </c>
      <c r="P133">
        <v>3071809760948</v>
      </c>
      <c r="Q133">
        <v>1</v>
      </c>
      <c r="R133">
        <v>0.18</v>
      </c>
      <c r="S133">
        <v>92108677179</v>
      </c>
      <c r="T133">
        <v>0</v>
      </c>
    </row>
    <row r="134" spans="1:20">
      <c r="A134" t="s">
        <v>217</v>
      </c>
      <c r="B134" t="s">
        <v>53</v>
      </c>
      <c r="C134" t="s">
        <v>77</v>
      </c>
      <c r="D134" t="s">
        <v>66</v>
      </c>
      <c r="E134" t="s">
        <v>71</v>
      </c>
      <c r="F134">
        <v>374000000000</v>
      </c>
      <c r="G134">
        <v>151283077893</v>
      </c>
      <c r="H134" t="s">
        <v>68</v>
      </c>
      <c r="I134">
        <v>0.7863</v>
      </c>
      <c r="J134">
        <v>1.863</v>
      </c>
      <c r="K134">
        <v>4.18</v>
      </c>
      <c r="L134">
        <v>5</v>
      </c>
      <c r="M134">
        <v>0</v>
      </c>
      <c r="N134">
        <v>1.4699E-2</v>
      </c>
      <c r="O134">
        <v>0.52519099999999996</v>
      </c>
      <c r="P134">
        <v>487462308419</v>
      </c>
      <c r="Q134">
        <v>1</v>
      </c>
      <c r="R134">
        <v>2.2048999999999999E-2</v>
      </c>
      <c r="S134">
        <v>3763182505</v>
      </c>
      <c r="T134">
        <v>0</v>
      </c>
    </row>
    <row r="135" spans="1:20">
      <c r="A135" t="s">
        <v>218</v>
      </c>
      <c r="B135" t="s">
        <v>64</v>
      </c>
      <c r="C135" t="s">
        <v>77</v>
      </c>
      <c r="D135" t="s">
        <v>66</v>
      </c>
      <c r="E135" t="s">
        <v>167</v>
      </c>
      <c r="F135">
        <v>1737000000000</v>
      </c>
      <c r="G135">
        <v>269300988548</v>
      </c>
      <c r="H135" t="s">
        <v>54</v>
      </c>
      <c r="I135">
        <v>0.55000000000000004</v>
      </c>
      <c r="J135">
        <v>3.423</v>
      </c>
      <c r="K135">
        <v>4.95</v>
      </c>
      <c r="L135">
        <v>65</v>
      </c>
      <c r="M135">
        <v>0</v>
      </c>
      <c r="N135">
        <v>4.6350000000000002E-3</v>
      </c>
      <c r="O135">
        <v>0.44249899999999998</v>
      </c>
      <c r="P135">
        <v>1844720395419</v>
      </c>
      <c r="Q135">
        <v>2</v>
      </c>
      <c r="R135">
        <v>1.3904E-2</v>
      </c>
      <c r="S135">
        <v>11349659884</v>
      </c>
      <c r="T135">
        <v>0</v>
      </c>
    </row>
    <row r="136" spans="1:20">
      <c r="A136" t="s">
        <v>219</v>
      </c>
      <c r="B136" t="s">
        <v>64</v>
      </c>
      <c r="C136" t="s">
        <v>80</v>
      </c>
      <c r="D136" t="s">
        <v>75</v>
      </c>
      <c r="E136" t="s">
        <v>56</v>
      </c>
      <c r="F136">
        <v>1839000000000</v>
      </c>
      <c r="G136">
        <v>719654267108</v>
      </c>
      <c r="H136" t="s">
        <v>68</v>
      </c>
      <c r="I136">
        <v>1.0118</v>
      </c>
      <c r="J136">
        <v>1.5049999999999999</v>
      </c>
      <c r="K136">
        <v>2.3540000000000001</v>
      </c>
      <c r="L136">
        <v>0</v>
      </c>
      <c r="M136">
        <v>0</v>
      </c>
      <c r="N136">
        <v>5.5E-2</v>
      </c>
      <c r="O136">
        <v>0.60411400000000004</v>
      </c>
      <c r="P136">
        <v>2126861706843</v>
      </c>
      <c r="Q136">
        <v>1</v>
      </c>
      <c r="R136">
        <v>8.2500000000000004E-2</v>
      </c>
      <c r="S136">
        <v>70667727003</v>
      </c>
      <c r="T136">
        <v>0</v>
      </c>
    </row>
    <row r="137" spans="1:20">
      <c r="A137" t="s">
        <v>220</v>
      </c>
      <c r="B137" t="s">
        <v>53</v>
      </c>
      <c r="C137" t="s">
        <v>77</v>
      </c>
      <c r="D137" t="s">
        <v>81</v>
      </c>
      <c r="E137" t="s">
        <v>56</v>
      </c>
      <c r="F137">
        <v>1224000000000</v>
      </c>
      <c r="G137">
        <v>255022548778</v>
      </c>
      <c r="H137" t="s">
        <v>54</v>
      </c>
      <c r="I137">
        <v>0.57879999999999998</v>
      </c>
      <c r="J137">
        <v>1.6879999999999999</v>
      </c>
      <c r="K137">
        <v>1.7569999999999999</v>
      </c>
      <c r="L137">
        <v>0</v>
      </c>
      <c r="M137">
        <v>0</v>
      </c>
      <c r="N137">
        <v>5.5E-2</v>
      </c>
      <c r="O137">
        <v>0.45258799999999999</v>
      </c>
      <c r="P137">
        <v>1415266911583</v>
      </c>
      <c r="Q137">
        <v>1</v>
      </c>
      <c r="R137">
        <v>8.2500000000000004E-2</v>
      </c>
      <c r="S137">
        <v>35229286256</v>
      </c>
      <c r="T137">
        <v>0</v>
      </c>
    </row>
    <row r="138" spans="1:20">
      <c r="A138" t="s">
        <v>221</v>
      </c>
      <c r="B138" t="s">
        <v>64</v>
      </c>
      <c r="C138" t="s">
        <v>80</v>
      </c>
      <c r="D138" t="s">
        <v>75</v>
      </c>
      <c r="E138" t="s">
        <v>67</v>
      </c>
      <c r="F138">
        <v>987000000000</v>
      </c>
      <c r="G138">
        <v>91531152344</v>
      </c>
      <c r="H138" t="s">
        <v>54</v>
      </c>
      <c r="I138">
        <v>0.69210000000000005</v>
      </c>
      <c r="J138">
        <v>1.885</v>
      </c>
      <c r="K138">
        <v>1.417</v>
      </c>
      <c r="L138">
        <v>0</v>
      </c>
      <c r="M138">
        <v>0</v>
      </c>
      <c r="N138">
        <v>0.12</v>
      </c>
      <c r="O138">
        <v>0.49224000000000001</v>
      </c>
      <c r="P138">
        <v>1023612460937</v>
      </c>
      <c r="Q138">
        <v>1</v>
      </c>
      <c r="R138">
        <v>0.18</v>
      </c>
      <c r="S138">
        <v>60463554177</v>
      </c>
      <c r="T138">
        <v>0</v>
      </c>
    </row>
    <row r="139" spans="1:20">
      <c r="A139" t="s">
        <v>222</v>
      </c>
      <c r="B139" t="s">
        <v>59</v>
      </c>
      <c r="C139" t="s">
        <v>70</v>
      </c>
      <c r="D139" t="s">
        <v>61</v>
      </c>
      <c r="E139" t="s">
        <v>56</v>
      </c>
      <c r="F139">
        <v>2361000000000</v>
      </c>
      <c r="G139">
        <v>338819232207</v>
      </c>
      <c r="H139" t="s">
        <v>84</v>
      </c>
      <c r="I139">
        <v>0.94889999999999997</v>
      </c>
      <c r="J139">
        <v>1.129</v>
      </c>
      <c r="K139">
        <v>1.9930000000000001</v>
      </c>
      <c r="L139">
        <v>0</v>
      </c>
      <c r="M139">
        <v>0</v>
      </c>
      <c r="N139">
        <v>5.8130000000000001E-2</v>
      </c>
      <c r="O139">
        <v>0.78212199999999998</v>
      </c>
      <c r="P139">
        <v>2496527692882</v>
      </c>
      <c r="Q139">
        <v>1</v>
      </c>
      <c r="R139">
        <v>8.7194999999999995E-2</v>
      </c>
      <c r="S139">
        <v>113503919069</v>
      </c>
      <c r="T139">
        <v>0</v>
      </c>
    </row>
    <row r="140" spans="1:20">
      <c r="A140" t="s">
        <v>223</v>
      </c>
      <c r="B140" t="s">
        <v>53</v>
      </c>
      <c r="C140" t="s">
        <v>60</v>
      </c>
      <c r="D140" t="s">
        <v>66</v>
      </c>
      <c r="E140" t="s">
        <v>89</v>
      </c>
      <c r="F140">
        <v>2566000000000</v>
      </c>
      <c r="G140">
        <v>783752767358</v>
      </c>
      <c r="H140" t="s">
        <v>57</v>
      </c>
      <c r="I140">
        <v>0.79179999999999995</v>
      </c>
      <c r="J140">
        <v>1.7410000000000001</v>
      </c>
      <c r="K140">
        <v>2.0760000000000001</v>
      </c>
      <c r="L140">
        <v>5</v>
      </c>
      <c r="M140">
        <v>0</v>
      </c>
      <c r="N140">
        <v>5.4169999999999999E-3</v>
      </c>
      <c r="O140">
        <v>0.52712899999999996</v>
      </c>
      <c r="P140">
        <v>3153814575518</v>
      </c>
      <c r="Q140">
        <v>1</v>
      </c>
      <c r="R140">
        <v>8.1250000000000003E-3</v>
      </c>
      <c r="S140">
        <v>9005031816</v>
      </c>
      <c r="T140">
        <v>0</v>
      </c>
    </row>
    <row r="141" spans="1:20">
      <c r="A141" t="s">
        <v>224</v>
      </c>
      <c r="B141" t="s">
        <v>53</v>
      </c>
      <c r="C141" t="s">
        <v>77</v>
      </c>
      <c r="D141" t="s">
        <v>88</v>
      </c>
      <c r="E141" t="s">
        <v>56</v>
      </c>
      <c r="F141">
        <v>2900000000000</v>
      </c>
      <c r="G141">
        <v>188379032660</v>
      </c>
      <c r="H141" t="s">
        <v>72</v>
      </c>
      <c r="I141">
        <v>1.0156000000000001</v>
      </c>
      <c r="J141">
        <v>1.6160000000000001</v>
      </c>
      <c r="K141">
        <v>3.3109999999999999</v>
      </c>
      <c r="L141">
        <v>0</v>
      </c>
      <c r="M141">
        <v>0</v>
      </c>
      <c r="N141">
        <v>5.7053E-2</v>
      </c>
      <c r="O141">
        <v>0.60547200000000001</v>
      </c>
      <c r="P141">
        <v>3041284274495</v>
      </c>
      <c r="Q141">
        <v>1</v>
      </c>
      <c r="R141">
        <v>8.5579000000000002E-2</v>
      </c>
      <c r="S141">
        <v>105058093043</v>
      </c>
      <c r="T141">
        <v>0</v>
      </c>
    </row>
    <row r="142" spans="1:20">
      <c r="A142" t="s">
        <v>225</v>
      </c>
      <c r="B142" t="s">
        <v>53</v>
      </c>
      <c r="C142" t="s">
        <v>65</v>
      </c>
      <c r="D142" t="s">
        <v>75</v>
      </c>
      <c r="E142" t="s">
        <v>89</v>
      </c>
      <c r="F142">
        <v>2195000000000</v>
      </c>
      <c r="G142">
        <v>715708549581</v>
      </c>
      <c r="H142" t="s">
        <v>54</v>
      </c>
      <c r="I142">
        <v>0.70779999999999998</v>
      </c>
      <c r="J142">
        <v>2.2050000000000001</v>
      </c>
      <c r="K142">
        <v>2.3220000000000001</v>
      </c>
      <c r="L142">
        <v>15</v>
      </c>
      <c r="M142">
        <v>1</v>
      </c>
      <c r="N142">
        <v>7.4999999999999997E-3</v>
      </c>
      <c r="O142">
        <v>0.49772</v>
      </c>
      <c r="P142">
        <v>2731781412185</v>
      </c>
      <c r="Q142">
        <v>1</v>
      </c>
      <c r="R142">
        <v>1.125E-2</v>
      </c>
      <c r="S142">
        <v>10197458180</v>
      </c>
      <c r="T142">
        <v>0</v>
      </c>
    </row>
    <row r="143" spans="1:20">
      <c r="A143" t="s">
        <v>226</v>
      </c>
      <c r="B143" t="s">
        <v>59</v>
      </c>
      <c r="C143" t="s">
        <v>91</v>
      </c>
      <c r="D143" t="s">
        <v>97</v>
      </c>
      <c r="E143" t="s">
        <v>67</v>
      </c>
      <c r="F143">
        <v>869000000000</v>
      </c>
      <c r="G143">
        <v>366476325400</v>
      </c>
      <c r="H143" t="s">
        <v>54</v>
      </c>
      <c r="I143">
        <v>0.55789999999999995</v>
      </c>
      <c r="J143">
        <v>2.0670000000000002</v>
      </c>
      <c r="K143">
        <v>3.0350000000000001</v>
      </c>
      <c r="L143">
        <v>0</v>
      </c>
      <c r="M143">
        <v>0</v>
      </c>
      <c r="N143">
        <v>0.120503</v>
      </c>
      <c r="O143">
        <v>0.44526399999999999</v>
      </c>
      <c r="P143">
        <v>1015590530160</v>
      </c>
      <c r="Q143">
        <v>1</v>
      </c>
      <c r="R143">
        <v>0.180754</v>
      </c>
      <c r="S143">
        <v>54492148183</v>
      </c>
      <c r="T143">
        <v>0</v>
      </c>
    </row>
    <row r="144" spans="1:20">
      <c r="A144" t="s">
        <v>227</v>
      </c>
      <c r="B144" t="s">
        <v>64</v>
      </c>
      <c r="C144" t="s">
        <v>70</v>
      </c>
      <c r="D144" t="s">
        <v>81</v>
      </c>
      <c r="E144" t="s">
        <v>62</v>
      </c>
      <c r="F144">
        <v>2659000000000</v>
      </c>
      <c r="G144">
        <v>429872021195</v>
      </c>
      <c r="H144" t="s">
        <v>78</v>
      </c>
      <c r="I144">
        <v>0.83260000000000001</v>
      </c>
      <c r="J144">
        <v>2.4580000000000002</v>
      </c>
      <c r="K144">
        <v>2.5619999999999998</v>
      </c>
      <c r="L144">
        <v>15</v>
      </c>
      <c r="M144">
        <v>2</v>
      </c>
      <c r="N144">
        <v>4.3749999999999997E-2</v>
      </c>
      <c r="O144">
        <v>0.391407</v>
      </c>
      <c r="P144">
        <v>2830948808478</v>
      </c>
      <c r="Q144">
        <v>2</v>
      </c>
      <c r="R144">
        <v>0.13125000000000001</v>
      </c>
      <c r="S144">
        <v>145431991980</v>
      </c>
      <c r="T144">
        <v>0</v>
      </c>
    </row>
    <row r="145" spans="1:20">
      <c r="A145" t="s">
        <v>228</v>
      </c>
      <c r="B145" t="s">
        <v>53</v>
      </c>
      <c r="C145" t="s">
        <v>77</v>
      </c>
      <c r="D145" t="s">
        <v>88</v>
      </c>
      <c r="E145" t="s">
        <v>56</v>
      </c>
      <c r="F145">
        <v>1070000000000</v>
      </c>
      <c r="G145">
        <v>266419517845</v>
      </c>
      <c r="H145" t="s">
        <v>54</v>
      </c>
      <c r="I145">
        <v>0.62360000000000004</v>
      </c>
      <c r="J145">
        <v>1.042</v>
      </c>
      <c r="K145">
        <v>2.0750000000000002</v>
      </c>
      <c r="L145">
        <v>0</v>
      </c>
      <c r="M145">
        <v>0</v>
      </c>
      <c r="N145">
        <v>6.1955999999999997E-2</v>
      </c>
      <c r="O145">
        <v>0.46827000000000002</v>
      </c>
      <c r="P145">
        <v>1269814638383</v>
      </c>
      <c r="Q145">
        <v>1</v>
      </c>
      <c r="R145">
        <v>9.2934000000000003E-2</v>
      </c>
      <c r="S145">
        <v>36839838119</v>
      </c>
      <c r="T145">
        <v>0</v>
      </c>
    </row>
    <row r="146" spans="1:20">
      <c r="A146" t="s">
        <v>229</v>
      </c>
      <c r="B146" t="s">
        <v>59</v>
      </c>
      <c r="C146" t="s">
        <v>91</v>
      </c>
      <c r="D146" t="s">
        <v>97</v>
      </c>
      <c r="E146" t="s">
        <v>143</v>
      </c>
      <c r="F146">
        <v>2965000000000</v>
      </c>
      <c r="G146">
        <v>856180825781</v>
      </c>
      <c r="H146" t="s">
        <v>68</v>
      </c>
      <c r="I146">
        <v>0.7288</v>
      </c>
      <c r="J146">
        <v>1.82</v>
      </c>
      <c r="K146">
        <v>3.4380000000000002</v>
      </c>
      <c r="L146">
        <v>65</v>
      </c>
      <c r="M146">
        <v>0</v>
      </c>
      <c r="N146">
        <v>0.59804199999999996</v>
      </c>
      <c r="O146">
        <v>0.50508699999999995</v>
      </c>
      <c r="P146">
        <v>3307472330312</v>
      </c>
      <c r="Q146">
        <v>2</v>
      </c>
      <c r="R146">
        <v>0.99</v>
      </c>
      <c r="S146">
        <v>1653854195970</v>
      </c>
      <c r="T146">
        <v>0</v>
      </c>
    </row>
    <row r="147" spans="1:20">
      <c r="A147" t="s">
        <v>230</v>
      </c>
      <c r="B147" t="s">
        <v>86</v>
      </c>
      <c r="C147" t="s">
        <v>95</v>
      </c>
      <c r="D147" t="s">
        <v>88</v>
      </c>
      <c r="E147" t="s">
        <v>89</v>
      </c>
      <c r="F147">
        <v>200000000000</v>
      </c>
      <c r="G147">
        <v>68790495921</v>
      </c>
      <c r="H147" t="s">
        <v>84</v>
      </c>
      <c r="I147">
        <v>0.62250000000000005</v>
      </c>
      <c r="J147">
        <v>0.89900000000000002</v>
      </c>
      <c r="K147">
        <v>4.6079999999999997</v>
      </c>
      <c r="L147">
        <v>0</v>
      </c>
      <c r="M147">
        <v>0</v>
      </c>
      <c r="N147">
        <v>7.1700000000000002E-3</v>
      </c>
      <c r="O147">
        <v>0.66787200000000002</v>
      </c>
      <c r="P147">
        <v>251592871940</v>
      </c>
      <c r="Q147">
        <v>1</v>
      </c>
      <c r="R147">
        <v>1.0755000000000001E-2</v>
      </c>
      <c r="S147">
        <v>1204820522</v>
      </c>
      <c r="T147">
        <v>0</v>
      </c>
    </row>
    <row r="148" spans="1:20">
      <c r="A148" t="s">
        <v>231</v>
      </c>
      <c r="B148" t="s">
        <v>86</v>
      </c>
      <c r="C148" t="s">
        <v>60</v>
      </c>
      <c r="D148" t="s">
        <v>81</v>
      </c>
      <c r="E148" t="s">
        <v>56</v>
      </c>
      <c r="F148">
        <v>2000000000000</v>
      </c>
      <c r="G148">
        <v>14158590182</v>
      </c>
      <c r="H148" t="s">
        <v>84</v>
      </c>
      <c r="I148">
        <v>0.64829999999999999</v>
      </c>
      <c r="J148">
        <v>1.6859999999999999</v>
      </c>
      <c r="K148">
        <v>5.4279999999999999</v>
      </c>
      <c r="L148">
        <v>0</v>
      </c>
      <c r="M148">
        <v>0</v>
      </c>
      <c r="N148">
        <v>7.1027000000000007E-2</v>
      </c>
      <c r="O148">
        <v>0.67690799999999995</v>
      </c>
      <c r="P148">
        <v>2010618942636</v>
      </c>
      <c r="Q148">
        <v>1</v>
      </c>
      <c r="R148">
        <v>0.106541</v>
      </c>
      <c r="S148">
        <v>96668301131</v>
      </c>
      <c r="T148">
        <v>0</v>
      </c>
    </row>
    <row r="149" spans="1:20">
      <c r="A149" t="s">
        <v>232</v>
      </c>
      <c r="B149" t="s">
        <v>59</v>
      </c>
      <c r="C149" t="s">
        <v>74</v>
      </c>
      <c r="D149" t="s">
        <v>61</v>
      </c>
      <c r="E149" t="s">
        <v>67</v>
      </c>
      <c r="F149">
        <v>2540000000000</v>
      </c>
      <c r="G149">
        <v>601739191312</v>
      </c>
      <c r="H149" t="s">
        <v>57</v>
      </c>
      <c r="I149">
        <v>0.81340000000000001</v>
      </c>
      <c r="J149">
        <v>1.9730000000000001</v>
      </c>
      <c r="K149">
        <v>2.1869999999999998</v>
      </c>
      <c r="L149">
        <v>0</v>
      </c>
      <c r="M149">
        <v>0</v>
      </c>
      <c r="N149">
        <v>0.12</v>
      </c>
      <c r="O149">
        <v>0.53468800000000005</v>
      </c>
      <c r="P149">
        <v>2780695676524</v>
      </c>
      <c r="Q149">
        <v>1</v>
      </c>
      <c r="R149">
        <v>0.18</v>
      </c>
      <c r="S149">
        <v>178416500901</v>
      </c>
      <c r="T149">
        <v>0</v>
      </c>
    </row>
    <row r="150" spans="1:20">
      <c r="A150" t="s">
        <v>233</v>
      </c>
      <c r="B150" t="s">
        <v>64</v>
      </c>
      <c r="C150" t="s">
        <v>95</v>
      </c>
      <c r="D150" t="s">
        <v>97</v>
      </c>
      <c r="E150" t="s">
        <v>56</v>
      </c>
      <c r="F150">
        <v>131000000000</v>
      </c>
      <c r="G150">
        <v>5511854794</v>
      </c>
      <c r="H150" t="s">
        <v>84</v>
      </c>
      <c r="I150">
        <v>0.66590000000000005</v>
      </c>
      <c r="J150">
        <v>2.2799999999999998</v>
      </c>
      <c r="K150">
        <v>3.3809999999999998</v>
      </c>
      <c r="L150">
        <v>0</v>
      </c>
      <c r="M150">
        <v>1</v>
      </c>
      <c r="N150">
        <v>7.1264999999999995E-2</v>
      </c>
      <c r="O150">
        <v>0.68305400000000005</v>
      </c>
      <c r="P150">
        <v>133204741917</v>
      </c>
      <c r="Q150">
        <v>1</v>
      </c>
      <c r="R150">
        <v>0.10689700000000001</v>
      </c>
      <c r="S150">
        <v>6484115694</v>
      </c>
      <c r="T150">
        <v>0</v>
      </c>
    </row>
    <row r="151" spans="1:20">
      <c r="A151" t="s">
        <v>234</v>
      </c>
      <c r="B151" t="s">
        <v>59</v>
      </c>
      <c r="C151" t="s">
        <v>77</v>
      </c>
      <c r="D151" t="s">
        <v>81</v>
      </c>
      <c r="E151" t="s">
        <v>67</v>
      </c>
      <c r="F151">
        <v>2323000000000</v>
      </c>
      <c r="G151">
        <v>497064225689</v>
      </c>
      <c r="H151" t="s">
        <v>84</v>
      </c>
      <c r="I151">
        <v>1.0572999999999999</v>
      </c>
      <c r="J151">
        <v>2.0070000000000001</v>
      </c>
      <c r="K151">
        <v>3.359</v>
      </c>
      <c r="L151">
        <v>0</v>
      </c>
      <c r="M151">
        <v>0</v>
      </c>
      <c r="N151">
        <v>0.125165</v>
      </c>
      <c r="O151">
        <v>0.820052</v>
      </c>
      <c r="P151">
        <v>2521825690275</v>
      </c>
      <c r="Q151">
        <v>1</v>
      </c>
      <c r="R151">
        <v>0.187748</v>
      </c>
      <c r="S151">
        <v>258845586840</v>
      </c>
      <c r="T151">
        <v>0</v>
      </c>
    </row>
    <row r="152" spans="1:20">
      <c r="A152" t="s">
        <v>235</v>
      </c>
      <c r="B152" t="s">
        <v>59</v>
      </c>
      <c r="C152" t="s">
        <v>60</v>
      </c>
      <c r="D152" t="s">
        <v>97</v>
      </c>
      <c r="E152" t="s">
        <v>143</v>
      </c>
      <c r="F152">
        <v>1633000000000</v>
      </c>
      <c r="G152">
        <v>682583749845</v>
      </c>
      <c r="H152" t="s">
        <v>84</v>
      </c>
      <c r="I152">
        <v>0.77149999999999996</v>
      </c>
      <c r="J152">
        <v>2.4750000000000001</v>
      </c>
      <c r="K152">
        <v>0.71099999999999997</v>
      </c>
      <c r="L152">
        <v>0</v>
      </c>
      <c r="M152">
        <v>1</v>
      </c>
      <c r="N152">
        <v>0.35</v>
      </c>
      <c r="O152">
        <v>0.72001999999999999</v>
      </c>
      <c r="P152">
        <v>1906033499938</v>
      </c>
      <c r="Q152">
        <v>1</v>
      </c>
      <c r="R152">
        <v>0.52500000000000002</v>
      </c>
      <c r="S152">
        <v>480333700883</v>
      </c>
      <c r="T152">
        <v>0</v>
      </c>
    </row>
    <row r="153" spans="1:20">
      <c r="A153" t="s">
        <v>236</v>
      </c>
      <c r="B153" t="s">
        <v>59</v>
      </c>
      <c r="C153" t="s">
        <v>91</v>
      </c>
      <c r="D153" t="s">
        <v>55</v>
      </c>
      <c r="E153" t="s">
        <v>56</v>
      </c>
      <c r="F153">
        <v>952000000000</v>
      </c>
      <c r="G153">
        <v>359288223321</v>
      </c>
      <c r="H153" t="s">
        <v>68</v>
      </c>
      <c r="I153">
        <v>0.62629999999999997</v>
      </c>
      <c r="J153">
        <v>1.2929999999999999</v>
      </c>
      <c r="K153">
        <v>5.2190000000000003</v>
      </c>
      <c r="L153">
        <v>15</v>
      </c>
      <c r="M153">
        <v>0</v>
      </c>
      <c r="N153">
        <v>8.3393999999999996E-2</v>
      </c>
      <c r="O153">
        <v>0.46921099999999999</v>
      </c>
      <c r="P153">
        <v>1095715289328</v>
      </c>
      <c r="Q153">
        <v>1</v>
      </c>
      <c r="R153">
        <v>0.12509100000000001</v>
      </c>
      <c r="S153">
        <v>42874767830</v>
      </c>
      <c r="T153">
        <v>0</v>
      </c>
    </row>
    <row r="154" spans="1:20">
      <c r="A154" t="s">
        <v>237</v>
      </c>
      <c r="B154" t="s">
        <v>86</v>
      </c>
      <c r="C154" t="s">
        <v>74</v>
      </c>
      <c r="D154" t="s">
        <v>61</v>
      </c>
      <c r="E154" t="s">
        <v>62</v>
      </c>
      <c r="F154">
        <v>762000000000</v>
      </c>
      <c r="G154">
        <v>233067366838</v>
      </c>
      <c r="H154" t="s">
        <v>68</v>
      </c>
      <c r="I154">
        <v>0.80489999999999995</v>
      </c>
      <c r="J154">
        <v>1.603</v>
      </c>
      <c r="K154">
        <v>1.36</v>
      </c>
      <c r="L154">
        <v>0</v>
      </c>
      <c r="M154">
        <v>1</v>
      </c>
      <c r="N154">
        <v>3.125E-2</v>
      </c>
      <c r="O154">
        <v>0.53172900000000001</v>
      </c>
      <c r="P154">
        <v>936800525128</v>
      </c>
      <c r="Q154">
        <v>1</v>
      </c>
      <c r="R154">
        <v>4.6875E-2</v>
      </c>
      <c r="S154">
        <v>15566369227</v>
      </c>
      <c r="T154">
        <v>0</v>
      </c>
    </row>
    <row r="155" spans="1:20">
      <c r="A155" t="s">
        <v>238</v>
      </c>
      <c r="B155" t="s">
        <v>59</v>
      </c>
      <c r="C155" t="s">
        <v>95</v>
      </c>
      <c r="D155" t="s">
        <v>97</v>
      </c>
      <c r="E155" t="s">
        <v>62</v>
      </c>
      <c r="F155">
        <v>1823000000000</v>
      </c>
      <c r="G155">
        <v>295258318948</v>
      </c>
      <c r="H155" t="s">
        <v>72</v>
      </c>
      <c r="I155">
        <v>0.76949999999999996</v>
      </c>
      <c r="J155">
        <v>1.764</v>
      </c>
      <c r="K155">
        <v>3.9409999999999998</v>
      </c>
      <c r="L155">
        <v>0</v>
      </c>
      <c r="M155">
        <v>0</v>
      </c>
      <c r="N155">
        <v>2.7822E-2</v>
      </c>
      <c r="O155">
        <v>0.51931099999999997</v>
      </c>
      <c r="P155">
        <v>1941103327579</v>
      </c>
      <c r="Q155">
        <v>1</v>
      </c>
      <c r="R155">
        <v>4.1732999999999999E-2</v>
      </c>
      <c r="S155">
        <v>28045769311</v>
      </c>
      <c r="T155">
        <v>0</v>
      </c>
    </row>
    <row r="156" spans="1:20">
      <c r="A156" t="s">
        <v>239</v>
      </c>
      <c r="B156" t="s">
        <v>53</v>
      </c>
      <c r="C156" t="s">
        <v>60</v>
      </c>
      <c r="D156" t="s">
        <v>61</v>
      </c>
      <c r="E156" t="s">
        <v>71</v>
      </c>
      <c r="F156">
        <v>52000000000</v>
      </c>
      <c r="G156">
        <v>6829228020</v>
      </c>
      <c r="H156" t="s">
        <v>68</v>
      </c>
      <c r="I156">
        <v>0.78590000000000004</v>
      </c>
      <c r="J156">
        <v>1.95</v>
      </c>
      <c r="K156">
        <v>5.6710000000000003</v>
      </c>
      <c r="L156">
        <v>0</v>
      </c>
      <c r="M156">
        <v>0</v>
      </c>
      <c r="N156">
        <v>1.5847E-2</v>
      </c>
      <c r="O156">
        <v>0.52507000000000004</v>
      </c>
      <c r="P156">
        <v>57121921015</v>
      </c>
      <c r="Q156">
        <v>1</v>
      </c>
      <c r="R156">
        <v>2.3769999999999999E-2</v>
      </c>
      <c r="S156">
        <v>475290188</v>
      </c>
      <c r="T156">
        <v>0</v>
      </c>
    </row>
    <row r="157" spans="1:20">
      <c r="A157" t="s">
        <v>240</v>
      </c>
      <c r="B157" t="s">
        <v>59</v>
      </c>
      <c r="C157" t="s">
        <v>95</v>
      </c>
      <c r="D157" t="s">
        <v>61</v>
      </c>
      <c r="E157" t="s">
        <v>62</v>
      </c>
      <c r="F157">
        <v>1726000000000</v>
      </c>
      <c r="G157">
        <v>232817575620</v>
      </c>
      <c r="H157" t="s">
        <v>72</v>
      </c>
      <c r="I157">
        <v>0.81440000000000001</v>
      </c>
      <c r="J157">
        <v>1.9059999999999999</v>
      </c>
      <c r="K157">
        <v>1.903</v>
      </c>
      <c r="L157">
        <v>0</v>
      </c>
      <c r="M157">
        <v>0</v>
      </c>
      <c r="N157">
        <v>2.5000000000000001E-2</v>
      </c>
      <c r="O157">
        <v>0.53503299999999998</v>
      </c>
      <c r="P157">
        <v>1819127030248</v>
      </c>
      <c r="Q157">
        <v>1</v>
      </c>
      <c r="R157">
        <v>3.7499999999999999E-2</v>
      </c>
      <c r="S157">
        <v>24332327998</v>
      </c>
      <c r="T157">
        <v>0</v>
      </c>
    </row>
    <row r="158" spans="1:20">
      <c r="A158" t="s">
        <v>241</v>
      </c>
      <c r="B158" t="s">
        <v>59</v>
      </c>
      <c r="C158" t="s">
        <v>80</v>
      </c>
      <c r="D158" t="s">
        <v>75</v>
      </c>
      <c r="E158" t="s">
        <v>167</v>
      </c>
      <c r="F158">
        <v>1558000000000</v>
      </c>
      <c r="G158">
        <v>563738007478</v>
      </c>
      <c r="H158" t="s">
        <v>78</v>
      </c>
      <c r="I158">
        <v>0.76349999999999996</v>
      </c>
      <c r="J158">
        <v>2.2360000000000002</v>
      </c>
      <c r="K158">
        <v>4.3090000000000002</v>
      </c>
      <c r="L158">
        <v>0</v>
      </c>
      <c r="M158">
        <v>2</v>
      </c>
      <c r="N158">
        <v>3.3140000000000001E-3</v>
      </c>
      <c r="O158">
        <v>0.36721300000000001</v>
      </c>
      <c r="P158">
        <v>1783495202991</v>
      </c>
      <c r="Q158">
        <v>2</v>
      </c>
      <c r="R158">
        <v>9.9430000000000004E-3</v>
      </c>
      <c r="S158">
        <v>6511633588</v>
      </c>
      <c r="T158">
        <v>0</v>
      </c>
    </row>
    <row r="159" spans="1:20">
      <c r="A159" t="s">
        <v>242</v>
      </c>
      <c r="B159" t="s">
        <v>59</v>
      </c>
      <c r="C159" t="s">
        <v>91</v>
      </c>
      <c r="D159" t="s">
        <v>97</v>
      </c>
      <c r="E159" t="s">
        <v>143</v>
      </c>
      <c r="F159">
        <v>2594000000000</v>
      </c>
      <c r="G159">
        <v>573152836338</v>
      </c>
      <c r="H159" t="s">
        <v>84</v>
      </c>
      <c r="I159">
        <v>0.83260000000000001</v>
      </c>
      <c r="J159">
        <v>1.4359999999999999</v>
      </c>
      <c r="K159">
        <v>2.7210000000000001</v>
      </c>
      <c r="L159">
        <v>0</v>
      </c>
      <c r="M159">
        <v>0</v>
      </c>
      <c r="N159">
        <v>0.28000000000000003</v>
      </c>
      <c r="O159">
        <v>0.741394</v>
      </c>
      <c r="P159">
        <v>2823261134535</v>
      </c>
      <c r="Q159">
        <v>1</v>
      </c>
      <c r="R159">
        <v>0.42</v>
      </c>
      <c r="S159">
        <v>586081793090</v>
      </c>
      <c r="T159">
        <v>0</v>
      </c>
    </row>
    <row r="160" spans="1:20">
      <c r="A160" t="s">
        <v>243</v>
      </c>
      <c r="B160" t="s">
        <v>59</v>
      </c>
      <c r="C160" t="s">
        <v>74</v>
      </c>
      <c r="D160" t="s">
        <v>88</v>
      </c>
      <c r="E160" t="s">
        <v>71</v>
      </c>
      <c r="F160">
        <v>1892000000000</v>
      </c>
      <c r="G160">
        <v>802848842986</v>
      </c>
      <c r="H160" t="s">
        <v>84</v>
      </c>
      <c r="I160">
        <v>0.93969999999999998</v>
      </c>
      <c r="J160">
        <v>2.7519999999999998</v>
      </c>
      <c r="K160">
        <v>3.4590000000000001</v>
      </c>
      <c r="L160">
        <v>5</v>
      </c>
      <c r="M160">
        <v>0</v>
      </c>
      <c r="N160">
        <v>1.3661E-2</v>
      </c>
      <c r="O160">
        <v>0.77888800000000002</v>
      </c>
      <c r="P160">
        <v>2213139537194</v>
      </c>
      <c r="Q160">
        <v>1</v>
      </c>
      <c r="R160">
        <v>2.0492E-2</v>
      </c>
      <c r="S160">
        <v>23548800793</v>
      </c>
      <c r="T160">
        <v>0</v>
      </c>
    </row>
    <row r="161" spans="1:20">
      <c r="A161" t="s">
        <v>244</v>
      </c>
      <c r="B161" t="s">
        <v>53</v>
      </c>
      <c r="C161" t="s">
        <v>80</v>
      </c>
      <c r="D161" t="s">
        <v>88</v>
      </c>
      <c r="E161" t="s">
        <v>71</v>
      </c>
      <c r="F161">
        <v>1841000000000</v>
      </c>
      <c r="G161">
        <v>820745924030</v>
      </c>
      <c r="H161" t="s">
        <v>54</v>
      </c>
      <c r="I161">
        <v>0.35899999999999999</v>
      </c>
      <c r="J161">
        <v>1.248</v>
      </c>
      <c r="K161">
        <v>3.3839999999999999</v>
      </c>
      <c r="L161">
        <v>5</v>
      </c>
      <c r="M161">
        <v>0</v>
      </c>
      <c r="N161">
        <v>1.3553000000000001E-2</v>
      </c>
      <c r="O161">
        <v>0.375664</v>
      </c>
      <c r="P161">
        <v>2456559443022</v>
      </c>
      <c r="Q161">
        <v>1</v>
      </c>
      <c r="R161">
        <v>2.0330000000000001E-2</v>
      </c>
      <c r="S161">
        <v>12507675273</v>
      </c>
      <c r="T161">
        <v>0</v>
      </c>
    </row>
    <row r="162" spans="1:20">
      <c r="A162" t="s">
        <v>245</v>
      </c>
      <c r="B162" t="s">
        <v>64</v>
      </c>
      <c r="C162" t="s">
        <v>74</v>
      </c>
      <c r="D162" t="s">
        <v>81</v>
      </c>
      <c r="E162" t="s">
        <v>67</v>
      </c>
      <c r="F162">
        <v>449000000000</v>
      </c>
      <c r="G162">
        <v>155367165382</v>
      </c>
      <c r="H162" t="s">
        <v>54</v>
      </c>
      <c r="I162">
        <v>0.54730000000000001</v>
      </c>
      <c r="J162">
        <v>1.369</v>
      </c>
      <c r="K162">
        <v>2.9460000000000002</v>
      </c>
      <c r="L162">
        <v>0</v>
      </c>
      <c r="M162">
        <v>1</v>
      </c>
      <c r="N162">
        <v>0.15</v>
      </c>
      <c r="O162">
        <v>0.44154399999999999</v>
      </c>
      <c r="P162">
        <v>511146866152</v>
      </c>
      <c r="Q162">
        <v>1</v>
      </c>
      <c r="R162">
        <v>0.22500000000000001</v>
      </c>
      <c r="S162">
        <v>33854052250</v>
      </c>
      <c r="T162">
        <v>0</v>
      </c>
    </row>
    <row r="163" spans="1:20">
      <c r="A163" t="s">
        <v>246</v>
      </c>
      <c r="B163" t="s">
        <v>59</v>
      </c>
      <c r="C163" t="s">
        <v>70</v>
      </c>
      <c r="D163" t="s">
        <v>55</v>
      </c>
      <c r="E163" t="s">
        <v>167</v>
      </c>
      <c r="F163">
        <v>2126000000000</v>
      </c>
      <c r="G163">
        <v>533832301415</v>
      </c>
      <c r="H163" t="s">
        <v>84</v>
      </c>
      <c r="I163">
        <v>0.81910000000000005</v>
      </c>
      <c r="J163">
        <v>1.6519999999999999</v>
      </c>
      <c r="K163">
        <v>2.2850000000000001</v>
      </c>
      <c r="L163">
        <v>5</v>
      </c>
      <c r="M163">
        <v>0</v>
      </c>
      <c r="N163">
        <v>2.1670000000000001E-3</v>
      </c>
      <c r="O163">
        <v>0.73667300000000002</v>
      </c>
      <c r="P163">
        <v>2339532920566</v>
      </c>
      <c r="Q163">
        <v>1</v>
      </c>
      <c r="R163">
        <v>3.2499999999999999E-3</v>
      </c>
      <c r="S163">
        <v>3734188748</v>
      </c>
      <c r="T163">
        <v>0</v>
      </c>
    </row>
    <row r="164" spans="1:20">
      <c r="A164" t="s">
        <v>247</v>
      </c>
      <c r="B164" t="s">
        <v>86</v>
      </c>
      <c r="C164" t="s">
        <v>80</v>
      </c>
      <c r="D164" t="s">
        <v>61</v>
      </c>
      <c r="E164" t="s">
        <v>71</v>
      </c>
      <c r="F164">
        <v>477000000000</v>
      </c>
      <c r="G164">
        <v>178442353901</v>
      </c>
      <c r="H164" t="s">
        <v>54</v>
      </c>
      <c r="I164">
        <v>0.627</v>
      </c>
      <c r="J164">
        <v>1.2949999999999999</v>
      </c>
      <c r="K164">
        <v>1.847</v>
      </c>
      <c r="L164">
        <v>0</v>
      </c>
      <c r="M164">
        <v>1</v>
      </c>
      <c r="N164">
        <v>1.4999999999999999E-2</v>
      </c>
      <c r="O164">
        <v>0.46944200000000003</v>
      </c>
      <c r="P164">
        <v>610831765425</v>
      </c>
      <c r="Q164">
        <v>1</v>
      </c>
      <c r="R164">
        <v>2.2499999999999999E-2</v>
      </c>
      <c r="S164">
        <v>4301248769</v>
      </c>
      <c r="T164">
        <v>0</v>
      </c>
    </row>
    <row r="165" spans="1:20">
      <c r="A165" t="s">
        <v>248</v>
      </c>
      <c r="B165" t="s">
        <v>59</v>
      </c>
      <c r="C165" t="s">
        <v>95</v>
      </c>
      <c r="D165" t="s">
        <v>75</v>
      </c>
      <c r="E165" t="s">
        <v>89</v>
      </c>
      <c r="F165">
        <v>2656000000000</v>
      </c>
      <c r="G165">
        <v>130710277269</v>
      </c>
      <c r="H165" t="s">
        <v>72</v>
      </c>
      <c r="I165">
        <v>0.82550000000000001</v>
      </c>
      <c r="J165">
        <v>2.1920000000000002</v>
      </c>
      <c r="K165">
        <v>0.2</v>
      </c>
      <c r="L165">
        <v>0</v>
      </c>
      <c r="M165">
        <v>0</v>
      </c>
      <c r="N165">
        <v>5.0000000000000001E-3</v>
      </c>
      <c r="O165">
        <v>0.53893100000000005</v>
      </c>
      <c r="P165">
        <v>2708284110907</v>
      </c>
      <c r="Q165">
        <v>1</v>
      </c>
      <c r="R165">
        <v>7.4999999999999997E-3</v>
      </c>
      <c r="S165">
        <v>7297895480</v>
      </c>
      <c r="T165">
        <v>0</v>
      </c>
    </row>
    <row r="166" spans="1:20">
      <c r="A166" t="s">
        <v>249</v>
      </c>
      <c r="B166" t="s">
        <v>59</v>
      </c>
      <c r="C166" t="s">
        <v>83</v>
      </c>
      <c r="D166" t="s">
        <v>81</v>
      </c>
      <c r="E166" t="s">
        <v>67</v>
      </c>
      <c r="F166">
        <v>1772000000000</v>
      </c>
      <c r="G166">
        <v>315437388319</v>
      </c>
      <c r="H166" t="s">
        <v>84</v>
      </c>
      <c r="I166">
        <v>0.81720000000000004</v>
      </c>
      <c r="J166">
        <v>0.66400000000000003</v>
      </c>
      <c r="K166">
        <v>1.79</v>
      </c>
      <c r="L166">
        <v>0</v>
      </c>
      <c r="M166">
        <v>1</v>
      </c>
      <c r="N166">
        <v>0.20145399999999999</v>
      </c>
      <c r="O166">
        <v>0.73601899999999998</v>
      </c>
      <c r="P166">
        <v>1898174955327</v>
      </c>
      <c r="Q166">
        <v>1</v>
      </c>
      <c r="R166">
        <v>0.30218099999999998</v>
      </c>
      <c r="S166">
        <v>281449769363</v>
      </c>
      <c r="T166">
        <v>0</v>
      </c>
    </row>
    <row r="167" spans="1:20">
      <c r="A167" t="s">
        <v>250</v>
      </c>
      <c r="B167" t="s">
        <v>59</v>
      </c>
      <c r="C167" t="s">
        <v>74</v>
      </c>
      <c r="D167" t="s">
        <v>61</v>
      </c>
      <c r="E167" t="s">
        <v>67</v>
      </c>
      <c r="F167">
        <v>809000000000</v>
      </c>
      <c r="G167">
        <v>166571231204</v>
      </c>
      <c r="H167" t="s">
        <v>72</v>
      </c>
      <c r="I167">
        <v>0.85389999999999999</v>
      </c>
      <c r="J167">
        <v>1.7150000000000001</v>
      </c>
      <c r="K167">
        <v>5.9809999999999999</v>
      </c>
      <c r="L167">
        <v>0</v>
      </c>
      <c r="M167">
        <v>0</v>
      </c>
      <c r="N167">
        <v>0.16292899999999999</v>
      </c>
      <c r="O167">
        <v>0.54886100000000004</v>
      </c>
      <c r="P167">
        <v>875628492481</v>
      </c>
      <c r="Q167">
        <v>1</v>
      </c>
      <c r="R167">
        <v>0.244393</v>
      </c>
      <c r="S167">
        <v>78303317893</v>
      </c>
      <c r="T167">
        <v>0</v>
      </c>
    </row>
    <row r="168" spans="1:20">
      <c r="A168" t="s">
        <v>251</v>
      </c>
      <c r="B168" t="s">
        <v>59</v>
      </c>
      <c r="C168" t="s">
        <v>60</v>
      </c>
      <c r="D168" t="s">
        <v>75</v>
      </c>
      <c r="E168" t="s">
        <v>67</v>
      </c>
      <c r="F168">
        <v>2893000000000</v>
      </c>
      <c r="G168">
        <v>1042278532899</v>
      </c>
      <c r="H168" t="s">
        <v>84</v>
      </c>
      <c r="I168">
        <v>1.083</v>
      </c>
      <c r="J168">
        <v>1.4410000000000001</v>
      </c>
      <c r="K168">
        <v>2.63</v>
      </c>
      <c r="L168">
        <v>0</v>
      </c>
      <c r="M168">
        <v>0</v>
      </c>
      <c r="N168">
        <v>0.12</v>
      </c>
      <c r="O168">
        <v>0.82905600000000002</v>
      </c>
      <c r="P168">
        <v>3309911413159</v>
      </c>
      <c r="Q168">
        <v>1</v>
      </c>
      <c r="R168">
        <v>0.18</v>
      </c>
      <c r="S168">
        <v>329292384331</v>
      </c>
      <c r="T168">
        <v>0</v>
      </c>
    </row>
    <row r="169" spans="1:20">
      <c r="A169" t="s">
        <v>252</v>
      </c>
      <c r="B169" t="s">
        <v>59</v>
      </c>
      <c r="C169" t="s">
        <v>80</v>
      </c>
      <c r="D169" t="s">
        <v>66</v>
      </c>
      <c r="E169" t="s">
        <v>56</v>
      </c>
      <c r="F169">
        <v>2203000000000</v>
      </c>
      <c r="G169">
        <v>687434731714</v>
      </c>
      <c r="H169" t="s">
        <v>84</v>
      </c>
      <c r="I169">
        <v>0.94950000000000001</v>
      </c>
      <c r="J169">
        <v>0.35699999999999998</v>
      </c>
      <c r="K169">
        <v>0.2</v>
      </c>
      <c r="L169">
        <v>0</v>
      </c>
      <c r="M169">
        <v>0</v>
      </c>
      <c r="N169">
        <v>9.2109999999999997E-2</v>
      </c>
      <c r="O169">
        <v>0.78232199999999996</v>
      </c>
      <c r="P169">
        <v>2477973892685</v>
      </c>
      <c r="Q169">
        <v>1</v>
      </c>
      <c r="R169">
        <v>0.13816500000000001</v>
      </c>
      <c r="S169">
        <v>178561703500</v>
      </c>
      <c r="T169">
        <v>0</v>
      </c>
    </row>
    <row r="170" spans="1:20">
      <c r="A170" t="s">
        <v>253</v>
      </c>
      <c r="B170" t="s">
        <v>64</v>
      </c>
      <c r="C170" t="s">
        <v>54</v>
      </c>
      <c r="D170" t="s">
        <v>81</v>
      </c>
      <c r="E170" t="s">
        <v>62</v>
      </c>
      <c r="F170">
        <v>1574000000000</v>
      </c>
      <c r="G170">
        <v>682680144032</v>
      </c>
      <c r="H170" t="s">
        <v>57</v>
      </c>
      <c r="I170">
        <v>0.61639999999999995</v>
      </c>
      <c r="J170">
        <v>1.778</v>
      </c>
      <c r="K170">
        <v>2.621</v>
      </c>
      <c r="L170">
        <v>0</v>
      </c>
      <c r="M170">
        <v>0</v>
      </c>
      <c r="N170">
        <v>2.5000000000000001E-2</v>
      </c>
      <c r="O170">
        <v>0.46572599999999997</v>
      </c>
      <c r="P170">
        <v>1847072057612</v>
      </c>
      <c r="Q170">
        <v>1</v>
      </c>
      <c r="R170">
        <v>3.7499999999999999E-2</v>
      </c>
      <c r="S170">
        <v>21505752797</v>
      </c>
      <c r="T170">
        <v>0</v>
      </c>
    </row>
    <row r="171" spans="1:20">
      <c r="A171" t="s">
        <v>254</v>
      </c>
      <c r="B171" t="s">
        <v>59</v>
      </c>
      <c r="C171" t="s">
        <v>74</v>
      </c>
      <c r="D171" t="s">
        <v>66</v>
      </c>
      <c r="E171" t="s">
        <v>62</v>
      </c>
      <c r="F171">
        <v>2318000000000</v>
      </c>
      <c r="G171">
        <v>774520788587</v>
      </c>
      <c r="H171" t="s">
        <v>68</v>
      </c>
      <c r="I171">
        <v>0.65429999999999999</v>
      </c>
      <c r="J171">
        <v>1.869</v>
      </c>
      <c r="K171">
        <v>1.44</v>
      </c>
      <c r="L171">
        <v>15</v>
      </c>
      <c r="M171">
        <v>1</v>
      </c>
      <c r="N171">
        <v>3.7499999999999999E-2</v>
      </c>
      <c r="O171">
        <v>0.47901300000000002</v>
      </c>
      <c r="P171">
        <v>2627808315434</v>
      </c>
      <c r="Q171">
        <v>1</v>
      </c>
      <c r="R171">
        <v>5.6250000000000001E-2</v>
      </c>
      <c r="S171">
        <v>47203301937</v>
      </c>
      <c r="T171">
        <v>0</v>
      </c>
    </row>
    <row r="172" spans="1:20">
      <c r="A172" t="s">
        <v>255</v>
      </c>
      <c r="B172" t="s">
        <v>59</v>
      </c>
      <c r="C172" t="s">
        <v>74</v>
      </c>
      <c r="D172" t="s">
        <v>75</v>
      </c>
      <c r="E172" t="s">
        <v>56</v>
      </c>
      <c r="F172">
        <v>421000000000</v>
      </c>
      <c r="G172">
        <v>139433058766</v>
      </c>
      <c r="H172" t="s">
        <v>68</v>
      </c>
      <c r="I172">
        <v>0.76419999999999999</v>
      </c>
      <c r="J172">
        <v>1.4590000000000001</v>
      </c>
      <c r="K172">
        <v>3.4529999999999998</v>
      </c>
      <c r="L172">
        <v>0</v>
      </c>
      <c r="M172">
        <v>1</v>
      </c>
      <c r="N172">
        <v>7.1739999999999998E-2</v>
      </c>
      <c r="O172">
        <v>0.51746300000000001</v>
      </c>
      <c r="P172">
        <v>476773223506</v>
      </c>
      <c r="Q172">
        <v>1</v>
      </c>
      <c r="R172">
        <v>0.107611</v>
      </c>
      <c r="S172">
        <v>17699252920</v>
      </c>
      <c r="T172">
        <v>0</v>
      </c>
    </row>
    <row r="173" spans="1:20">
      <c r="A173" t="s">
        <v>256</v>
      </c>
      <c r="B173" t="s">
        <v>64</v>
      </c>
      <c r="C173" t="s">
        <v>60</v>
      </c>
      <c r="D173" t="s">
        <v>75</v>
      </c>
      <c r="E173" t="s">
        <v>67</v>
      </c>
      <c r="F173">
        <v>2501000000000</v>
      </c>
      <c r="G173">
        <v>712151706576</v>
      </c>
      <c r="H173" t="s">
        <v>84</v>
      </c>
      <c r="I173">
        <v>1.2468999999999999</v>
      </c>
      <c r="J173">
        <v>1.952</v>
      </c>
      <c r="K173">
        <v>3.8620000000000001</v>
      </c>
      <c r="L173">
        <v>0</v>
      </c>
      <c r="M173">
        <v>0</v>
      </c>
      <c r="N173">
        <v>0.13241700000000001</v>
      </c>
      <c r="O173">
        <v>0.88641499999999995</v>
      </c>
      <c r="P173">
        <v>2785860682630</v>
      </c>
      <c r="Q173">
        <v>1</v>
      </c>
      <c r="R173">
        <v>0.198625</v>
      </c>
      <c r="S173">
        <v>326993852539</v>
      </c>
      <c r="T173">
        <v>0</v>
      </c>
    </row>
    <row r="174" spans="1:20">
      <c r="A174" t="s">
        <v>257</v>
      </c>
      <c r="B174" t="s">
        <v>59</v>
      </c>
      <c r="C174" t="s">
        <v>70</v>
      </c>
      <c r="D174" t="s">
        <v>75</v>
      </c>
      <c r="E174" t="s">
        <v>62</v>
      </c>
      <c r="F174">
        <v>2109000000000</v>
      </c>
      <c r="G174">
        <v>935277673261</v>
      </c>
      <c r="H174" t="s">
        <v>72</v>
      </c>
      <c r="I174">
        <v>0.8115</v>
      </c>
      <c r="J174">
        <v>1.5780000000000001</v>
      </c>
      <c r="K174">
        <v>5.59</v>
      </c>
      <c r="L174">
        <v>35</v>
      </c>
      <c r="M174">
        <v>0</v>
      </c>
      <c r="N174">
        <v>4.7354E-2</v>
      </c>
      <c r="O174">
        <v>0.53404200000000002</v>
      </c>
      <c r="P174">
        <v>2483111069304</v>
      </c>
      <c r="Q174">
        <v>2</v>
      </c>
      <c r="R174">
        <v>0.14206299999999999</v>
      </c>
      <c r="S174">
        <v>188387712020</v>
      </c>
      <c r="T174">
        <v>0</v>
      </c>
    </row>
    <row r="175" spans="1:20">
      <c r="A175" t="s">
        <v>258</v>
      </c>
      <c r="B175" t="s">
        <v>53</v>
      </c>
      <c r="C175" t="s">
        <v>77</v>
      </c>
      <c r="D175" t="s">
        <v>88</v>
      </c>
      <c r="E175" t="s">
        <v>56</v>
      </c>
      <c r="F175">
        <v>1610000000000</v>
      </c>
      <c r="G175">
        <v>354612846925</v>
      </c>
      <c r="H175" t="s">
        <v>84</v>
      </c>
      <c r="I175">
        <v>0.5444</v>
      </c>
      <c r="J175">
        <v>1.415</v>
      </c>
      <c r="K175">
        <v>2.6819999999999999</v>
      </c>
      <c r="L175">
        <v>5</v>
      </c>
      <c r="M175">
        <v>2</v>
      </c>
      <c r="N175">
        <v>8.7082999999999994E-2</v>
      </c>
      <c r="O175">
        <v>0.64054699999999998</v>
      </c>
      <c r="P175">
        <v>1875959635193</v>
      </c>
      <c r="Q175">
        <v>2</v>
      </c>
      <c r="R175">
        <v>0.26124999999999998</v>
      </c>
      <c r="S175">
        <v>313928433058</v>
      </c>
      <c r="T175">
        <v>0</v>
      </c>
    </row>
    <row r="176" spans="1:20">
      <c r="A176" t="s">
        <v>259</v>
      </c>
      <c r="B176" t="s">
        <v>64</v>
      </c>
      <c r="C176" t="s">
        <v>91</v>
      </c>
      <c r="D176" t="s">
        <v>66</v>
      </c>
      <c r="E176" t="s">
        <v>62</v>
      </c>
      <c r="F176">
        <v>1342000000000</v>
      </c>
      <c r="G176">
        <v>351442953425</v>
      </c>
      <c r="H176" t="s">
        <v>68</v>
      </c>
      <c r="I176">
        <v>1.1133999999999999</v>
      </c>
      <c r="J176">
        <v>1.018</v>
      </c>
      <c r="K176">
        <v>6.3230000000000004</v>
      </c>
      <c r="L176">
        <v>35</v>
      </c>
      <c r="M176">
        <v>1</v>
      </c>
      <c r="N176">
        <v>5.9444999999999998E-2</v>
      </c>
      <c r="O176">
        <v>0.63969699999999996</v>
      </c>
      <c r="P176">
        <v>1482577181370</v>
      </c>
      <c r="Q176">
        <v>2</v>
      </c>
      <c r="R176">
        <v>0.17833399999999999</v>
      </c>
      <c r="S176">
        <v>169132163871</v>
      </c>
      <c r="T176">
        <v>0</v>
      </c>
    </row>
    <row r="177" spans="1:20">
      <c r="A177" t="s">
        <v>260</v>
      </c>
      <c r="B177" t="s">
        <v>59</v>
      </c>
      <c r="C177" t="s">
        <v>70</v>
      </c>
      <c r="D177" t="s">
        <v>81</v>
      </c>
      <c r="E177" t="s">
        <v>71</v>
      </c>
      <c r="F177">
        <v>1385000000000</v>
      </c>
      <c r="G177">
        <v>341111291216</v>
      </c>
      <c r="H177" t="s">
        <v>72</v>
      </c>
      <c r="I177">
        <v>0.61829999999999996</v>
      </c>
      <c r="J177">
        <v>2.5339999999999998</v>
      </c>
      <c r="K177">
        <v>5.2030000000000003</v>
      </c>
      <c r="L177">
        <v>15</v>
      </c>
      <c r="M177">
        <v>0</v>
      </c>
      <c r="N177">
        <v>1.8173000000000002E-2</v>
      </c>
      <c r="O177">
        <v>0.46639700000000001</v>
      </c>
      <c r="P177">
        <v>1521444516486</v>
      </c>
      <c r="Q177">
        <v>1</v>
      </c>
      <c r="R177">
        <v>2.7258999999999999E-2</v>
      </c>
      <c r="S177">
        <v>12895469533</v>
      </c>
      <c r="T177">
        <v>0</v>
      </c>
    </row>
    <row r="178" spans="1:20">
      <c r="A178" t="s">
        <v>261</v>
      </c>
      <c r="B178" t="s">
        <v>64</v>
      </c>
      <c r="C178" t="s">
        <v>83</v>
      </c>
      <c r="D178" t="s">
        <v>81</v>
      </c>
      <c r="E178" t="s">
        <v>71</v>
      </c>
      <c r="F178">
        <v>1754000000000</v>
      </c>
      <c r="G178">
        <v>159689760309</v>
      </c>
      <c r="H178" t="s">
        <v>54</v>
      </c>
      <c r="I178">
        <v>0.61</v>
      </c>
      <c r="J178">
        <v>1.5289999999999999</v>
      </c>
      <c r="K178">
        <v>2.7160000000000002</v>
      </c>
      <c r="L178">
        <v>5</v>
      </c>
      <c r="M178">
        <v>0</v>
      </c>
      <c r="N178">
        <v>1.2999999999999999E-2</v>
      </c>
      <c r="O178">
        <v>0.46348800000000001</v>
      </c>
      <c r="P178">
        <v>1817875904123</v>
      </c>
      <c r="Q178">
        <v>1</v>
      </c>
      <c r="R178">
        <v>1.95E-2</v>
      </c>
      <c r="S178">
        <v>10953319272</v>
      </c>
      <c r="T178">
        <v>0</v>
      </c>
    </row>
    <row r="179" spans="1:20">
      <c r="A179" t="s">
        <v>262</v>
      </c>
      <c r="B179" t="s">
        <v>53</v>
      </c>
      <c r="C179" t="s">
        <v>70</v>
      </c>
      <c r="D179" t="s">
        <v>66</v>
      </c>
      <c r="E179" t="s">
        <v>62</v>
      </c>
      <c r="F179">
        <v>1760000000000</v>
      </c>
      <c r="G179">
        <v>519144300879</v>
      </c>
      <c r="H179" t="s">
        <v>57</v>
      </c>
      <c r="I179">
        <v>0.7843</v>
      </c>
      <c r="J179">
        <v>1.7929999999999999</v>
      </c>
      <c r="K179">
        <v>3.137</v>
      </c>
      <c r="L179">
        <v>0</v>
      </c>
      <c r="M179">
        <v>0</v>
      </c>
      <c r="N179">
        <v>2.5412000000000001E-2</v>
      </c>
      <c r="O179">
        <v>0.52451899999999996</v>
      </c>
      <c r="P179">
        <v>2149358225659</v>
      </c>
      <c r="Q179">
        <v>1</v>
      </c>
      <c r="R179">
        <v>3.8119E-2</v>
      </c>
      <c r="S179">
        <v>28649433325</v>
      </c>
      <c r="T179">
        <v>0</v>
      </c>
    </row>
    <row r="180" spans="1:20">
      <c r="A180" t="s">
        <v>263</v>
      </c>
      <c r="B180" t="s">
        <v>64</v>
      </c>
      <c r="C180" t="s">
        <v>80</v>
      </c>
      <c r="D180" t="s">
        <v>81</v>
      </c>
      <c r="E180" t="s">
        <v>71</v>
      </c>
      <c r="F180">
        <v>292000000000</v>
      </c>
      <c r="G180">
        <v>30083618384</v>
      </c>
      <c r="H180" t="s">
        <v>68</v>
      </c>
      <c r="I180">
        <v>1.1566000000000001</v>
      </c>
      <c r="J180">
        <v>2.33</v>
      </c>
      <c r="K180">
        <v>4.2679999999999998</v>
      </c>
      <c r="L180">
        <v>15</v>
      </c>
      <c r="M180">
        <v>1</v>
      </c>
      <c r="N180">
        <v>1.9826E-2</v>
      </c>
      <c r="O180">
        <v>0.65481400000000001</v>
      </c>
      <c r="P180">
        <v>304033447353</v>
      </c>
      <c r="Q180">
        <v>1</v>
      </c>
      <c r="R180">
        <v>2.9739000000000002E-2</v>
      </c>
      <c r="S180">
        <v>3947093002</v>
      </c>
      <c r="T180">
        <v>0</v>
      </c>
    </row>
    <row r="181" spans="1:20">
      <c r="A181" t="s">
        <v>264</v>
      </c>
      <c r="B181" t="s">
        <v>64</v>
      </c>
      <c r="C181" t="s">
        <v>54</v>
      </c>
      <c r="D181" t="s">
        <v>66</v>
      </c>
      <c r="E181" t="s">
        <v>56</v>
      </c>
      <c r="F181">
        <v>1804000000000</v>
      </c>
      <c r="G181">
        <v>285094190143</v>
      </c>
      <c r="H181" t="s">
        <v>57</v>
      </c>
      <c r="I181">
        <v>1.0370999999999999</v>
      </c>
      <c r="J181">
        <v>2.0099999999999998</v>
      </c>
      <c r="K181">
        <v>5.4630000000000001</v>
      </c>
      <c r="L181">
        <v>0</v>
      </c>
      <c r="M181">
        <v>0</v>
      </c>
      <c r="N181">
        <v>7.1256E-2</v>
      </c>
      <c r="O181">
        <v>0.61299300000000001</v>
      </c>
      <c r="P181">
        <v>1918037676057</v>
      </c>
      <c r="Q181">
        <v>1</v>
      </c>
      <c r="R181">
        <v>0.10688300000000001</v>
      </c>
      <c r="S181">
        <v>83778330902</v>
      </c>
      <c r="T181">
        <v>0</v>
      </c>
    </row>
    <row r="182" spans="1:20">
      <c r="A182" t="s">
        <v>265</v>
      </c>
      <c r="B182" t="s">
        <v>64</v>
      </c>
      <c r="C182" t="s">
        <v>80</v>
      </c>
      <c r="D182" t="s">
        <v>75</v>
      </c>
      <c r="E182" t="s">
        <v>71</v>
      </c>
      <c r="F182">
        <v>1290000000000</v>
      </c>
      <c r="G182">
        <v>459220001825</v>
      </c>
      <c r="H182" t="s">
        <v>68</v>
      </c>
      <c r="I182">
        <v>0.85399999999999998</v>
      </c>
      <c r="J182">
        <v>2.5910000000000002</v>
      </c>
      <c r="K182">
        <v>3.222</v>
      </c>
      <c r="L182">
        <v>65</v>
      </c>
      <c r="M182">
        <v>0</v>
      </c>
      <c r="N182">
        <v>2.5319000000000001E-2</v>
      </c>
      <c r="O182">
        <v>0.54890000000000005</v>
      </c>
      <c r="P182">
        <v>1473688000730</v>
      </c>
      <c r="Q182">
        <v>2</v>
      </c>
      <c r="R182">
        <v>7.5957999999999998E-2</v>
      </c>
      <c r="S182">
        <v>61443371933</v>
      </c>
      <c r="T182">
        <v>0</v>
      </c>
    </row>
    <row r="183" spans="1:20">
      <c r="A183" t="s">
        <v>266</v>
      </c>
      <c r="B183" t="s">
        <v>59</v>
      </c>
      <c r="C183" t="s">
        <v>74</v>
      </c>
      <c r="D183" t="s">
        <v>61</v>
      </c>
      <c r="E183" t="s">
        <v>56</v>
      </c>
      <c r="F183">
        <v>1212000000000</v>
      </c>
      <c r="G183">
        <v>352420995089</v>
      </c>
      <c r="H183" t="s">
        <v>68</v>
      </c>
      <c r="I183">
        <v>0.68889999999999996</v>
      </c>
      <c r="J183">
        <v>2.0059999999999998</v>
      </c>
      <c r="K183">
        <v>0.76800000000000002</v>
      </c>
      <c r="L183">
        <v>0</v>
      </c>
      <c r="M183">
        <v>0</v>
      </c>
      <c r="N183">
        <v>5.5E-2</v>
      </c>
      <c r="O183">
        <v>0.49110900000000002</v>
      </c>
      <c r="P183">
        <v>1352968398035</v>
      </c>
      <c r="Q183">
        <v>1</v>
      </c>
      <c r="R183">
        <v>8.2500000000000004E-2</v>
      </c>
      <c r="S183">
        <v>36545019150</v>
      </c>
      <c r="T183">
        <v>0</v>
      </c>
    </row>
    <row r="184" spans="1:20">
      <c r="A184" t="s">
        <v>267</v>
      </c>
      <c r="B184" t="s">
        <v>64</v>
      </c>
      <c r="C184" t="s">
        <v>83</v>
      </c>
      <c r="D184" t="s">
        <v>97</v>
      </c>
      <c r="E184" t="s">
        <v>143</v>
      </c>
      <c r="F184">
        <v>1725000000000</v>
      </c>
      <c r="G184">
        <v>283651424285</v>
      </c>
      <c r="H184" t="s">
        <v>78</v>
      </c>
      <c r="I184">
        <v>0.71130000000000004</v>
      </c>
      <c r="J184">
        <v>0.94899999999999995</v>
      </c>
      <c r="K184">
        <v>5.5039999999999996</v>
      </c>
      <c r="L184">
        <v>0</v>
      </c>
      <c r="M184">
        <v>0</v>
      </c>
      <c r="N184">
        <v>0.42042499999999999</v>
      </c>
      <c r="O184">
        <v>0.34893999999999997</v>
      </c>
      <c r="P184">
        <v>1838460569714</v>
      </c>
      <c r="Q184">
        <v>1</v>
      </c>
      <c r="R184">
        <v>0.63063800000000003</v>
      </c>
      <c r="S184">
        <v>269708054233</v>
      </c>
      <c r="T184">
        <v>1</v>
      </c>
    </row>
    <row r="185" spans="1:20">
      <c r="A185" t="s">
        <v>268</v>
      </c>
      <c r="B185" t="s">
        <v>53</v>
      </c>
      <c r="C185" t="s">
        <v>74</v>
      </c>
      <c r="D185" t="s">
        <v>97</v>
      </c>
      <c r="E185" t="s">
        <v>62</v>
      </c>
      <c r="F185">
        <v>2876000000000</v>
      </c>
      <c r="G185">
        <v>520627424856</v>
      </c>
      <c r="H185" t="s">
        <v>68</v>
      </c>
      <c r="I185">
        <v>0.85780000000000001</v>
      </c>
      <c r="J185">
        <v>1.3660000000000001</v>
      </c>
      <c r="K185">
        <v>1.8560000000000001</v>
      </c>
      <c r="L185">
        <v>0</v>
      </c>
      <c r="M185">
        <v>2</v>
      </c>
      <c r="N185">
        <v>3.7499999999999999E-2</v>
      </c>
      <c r="O185">
        <v>0.55023999999999995</v>
      </c>
      <c r="P185">
        <v>3266470568642</v>
      </c>
      <c r="Q185">
        <v>2</v>
      </c>
      <c r="R185">
        <v>0.1125</v>
      </c>
      <c r="S185">
        <v>202201039991</v>
      </c>
      <c r="T185">
        <v>0</v>
      </c>
    </row>
    <row r="186" spans="1:20">
      <c r="A186" t="s">
        <v>269</v>
      </c>
      <c r="B186" t="s">
        <v>64</v>
      </c>
      <c r="C186" t="s">
        <v>60</v>
      </c>
      <c r="D186" t="s">
        <v>81</v>
      </c>
      <c r="E186" t="s">
        <v>62</v>
      </c>
      <c r="F186">
        <v>2791000000000</v>
      </c>
      <c r="G186">
        <v>807769981516</v>
      </c>
      <c r="H186" t="s">
        <v>84</v>
      </c>
      <c r="I186">
        <v>0.77080000000000004</v>
      </c>
      <c r="J186">
        <v>2.3479999999999999</v>
      </c>
      <c r="K186">
        <v>4.1900000000000004</v>
      </c>
      <c r="L186">
        <v>0</v>
      </c>
      <c r="M186">
        <v>0</v>
      </c>
      <c r="N186">
        <v>2.8570000000000002E-2</v>
      </c>
      <c r="O186">
        <v>0.71978399999999998</v>
      </c>
      <c r="P186">
        <v>3114107992606</v>
      </c>
      <c r="Q186">
        <v>1</v>
      </c>
      <c r="R186">
        <v>4.2854000000000003E-2</v>
      </c>
      <c r="S186">
        <v>64038305879</v>
      </c>
      <c r="T186">
        <v>0</v>
      </c>
    </row>
    <row r="187" spans="1:20">
      <c r="A187" t="s">
        <v>270</v>
      </c>
      <c r="B187" t="s">
        <v>53</v>
      </c>
      <c r="C187" t="s">
        <v>83</v>
      </c>
      <c r="D187" t="s">
        <v>66</v>
      </c>
      <c r="E187" t="s">
        <v>167</v>
      </c>
      <c r="F187">
        <v>2035000000000</v>
      </c>
      <c r="G187">
        <v>872724586756</v>
      </c>
      <c r="H187" t="s">
        <v>57</v>
      </c>
      <c r="I187">
        <v>1.3045</v>
      </c>
      <c r="J187">
        <v>0.84899999999999998</v>
      </c>
      <c r="K187">
        <v>2.847</v>
      </c>
      <c r="L187">
        <v>0</v>
      </c>
      <c r="M187">
        <v>1</v>
      </c>
      <c r="N187">
        <v>3.0620000000000001E-3</v>
      </c>
      <c r="O187">
        <v>0.70657700000000001</v>
      </c>
      <c r="P187">
        <v>2689543440067</v>
      </c>
      <c r="Q187">
        <v>1</v>
      </c>
      <c r="R187">
        <v>4.5929999999999999E-3</v>
      </c>
      <c r="S187">
        <v>5819355586</v>
      </c>
      <c r="T187">
        <v>0</v>
      </c>
    </row>
    <row r="188" spans="1:20">
      <c r="A188" t="s">
        <v>271</v>
      </c>
      <c r="B188" t="s">
        <v>53</v>
      </c>
      <c r="C188" t="s">
        <v>91</v>
      </c>
      <c r="D188" t="s">
        <v>97</v>
      </c>
      <c r="E188" t="s">
        <v>67</v>
      </c>
      <c r="F188">
        <v>2147000000000</v>
      </c>
      <c r="G188">
        <v>61709922291</v>
      </c>
      <c r="H188" t="s">
        <v>72</v>
      </c>
      <c r="I188">
        <v>0.78849999999999998</v>
      </c>
      <c r="J188">
        <v>1.099</v>
      </c>
      <c r="K188">
        <v>4.5659999999999998</v>
      </c>
      <c r="L188">
        <v>0</v>
      </c>
      <c r="M188">
        <v>0</v>
      </c>
      <c r="N188">
        <v>0.15224199999999999</v>
      </c>
      <c r="O188">
        <v>0.52597499999999997</v>
      </c>
      <c r="P188">
        <v>2193282441718</v>
      </c>
      <c r="Q188">
        <v>1</v>
      </c>
      <c r="R188">
        <v>0.22836300000000001</v>
      </c>
      <c r="S188">
        <v>175628421880</v>
      </c>
      <c r="T188">
        <v>0</v>
      </c>
    </row>
    <row r="189" spans="1:20">
      <c r="A189" t="s">
        <v>272</v>
      </c>
      <c r="B189" t="s">
        <v>59</v>
      </c>
      <c r="C189" t="s">
        <v>95</v>
      </c>
      <c r="D189" t="s">
        <v>66</v>
      </c>
      <c r="E189" t="s">
        <v>56</v>
      </c>
      <c r="F189">
        <v>12000000000</v>
      </c>
      <c r="G189">
        <v>237804699</v>
      </c>
      <c r="H189" t="s">
        <v>78</v>
      </c>
      <c r="I189">
        <v>1.0311999999999999</v>
      </c>
      <c r="J189">
        <v>2.0680000000000001</v>
      </c>
      <c r="K189">
        <v>2.4049999999999998</v>
      </c>
      <c r="L189">
        <v>0</v>
      </c>
      <c r="M189">
        <v>2</v>
      </c>
      <c r="N189">
        <v>8.2500000000000004E-2</v>
      </c>
      <c r="O189">
        <v>0.460928</v>
      </c>
      <c r="P189">
        <v>12095121879</v>
      </c>
      <c r="Q189">
        <v>2</v>
      </c>
      <c r="R189">
        <v>0.2475</v>
      </c>
      <c r="S189">
        <v>1379807877</v>
      </c>
      <c r="T189">
        <v>0</v>
      </c>
    </row>
    <row r="190" spans="1:20">
      <c r="A190" t="s">
        <v>273</v>
      </c>
      <c r="B190" t="s">
        <v>59</v>
      </c>
      <c r="C190" t="s">
        <v>80</v>
      </c>
      <c r="D190" t="s">
        <v>81</v>
      </c>
      <c r="E190" t="s">
        <v>67</v>
      </c>
      <c r="F190">
        <v>1706000000000</v>
      </c>
      <c r="G190">
        <v>703101702999</v>
      </c>
      <c r="H190" t="s">
        <v>57</v>
      </c>
      <c r="I190">
        <v>0.69089999999999996</v>
      </c>
      <c r="J190">
        <v>2.7309999999999999</v>
      </c>
      <c r="K190">
        <v>2.5640000000000001</v>
      </c>
      <c r="L190">
        <v>0</v>
      </c>
      <c r="M190">
        <v>0</v>
      </c>
      <c r="N190">
        <v>0.12</v>
      </c>
      <c r="O190">
        <v>0.49181000000000002</v>
      </c>
      <c r="P190">
        <v>1987240681199</v>
      </c>
      <c r="Q190">
        <v>1</v>
      </c>
      <c r="R190">
        <v>0.18</v>
      </c>
      <c r="S190">
        <v>117281394984</v>
      </c>
      <c r="T190">
        <v>0</v>
      </c>
    </row>
    <row r="191" spans="1:20">
      <c r="A191" t="s">
        <v>274</v>
      </c>
      <c r="B191" t="s">
        <v>53</v>
      </c>
      <c r="C191" t="s">
        <v>70</v>
      </c>
      <c r="D191" t="s">
        <v>66</v>
      </c>
      <c r="E191" t="s">
        <v>67</v>
      </c>
      <c r="F191">
        <v>1342000000000</v>
      </c>
      <c r="G191">
        <v>52168216997</v>
      </c>
      <c r="H191" t="s">
        <v>72</v>
      </c>
      <c r="I191">
        <v>0.79169999999999996</v>
      </c>
      <c r="J191">
        <v>1.292</v>
      </c>
      <c r="K191">
        <v>3.5609999999999999</v>
      </c>
      <c r="L191">
        <v>5</v>
      </c>
      <c r="M191">
        <v>0</v>
      </c>
      <c r="N191">
        <v>0.138073</v>
      </c>
      <c r="O191">
        <v>0.52709300000000003</v>
      </c>
      <c r="P191">
        <v>1381126162747</v>
      </c>
      <c r="Q191">
        <v>1</v>
      </c>
      <c r="R191">
        <v>0.20710899999999999</v>
      </c>
      <c r="S191">
        <v>100514367011</v>
      </c>
      <c r="T191">
        <v>0</v>
      </c>
    </row>
    <row r="192" spans="1:20">
      <c r="A192" t="s">
        <v>275</v>
      </c>
      <c r="B192" t="s">
        <v>53</v>
      </c>
      <c r="C192" t="s">
        <v>74</v>
      </c>
      <c r="D192" t="s">
        <v>81</v>
      </c>
      <c r="E192" t="s">
        <v>67</v>
      </c>
      <c r="F192">
        <v>618000000000</v>
      </c>
      <c r="G192">
        <v>1773689193</v>
      </c>
      <c r="H192" t="s">
        <v>57</v>
      </c>
      <c r="I192">
        <v>0.72699999999999998</v>
      </c>
      <c r="J192">
        <v>2.0150000000000001</v>
      </c>
      <c r="K192">
        <v>1.675</v>
      </c>
      <c r="L192">
        <v>0</v>
      </c>
      <c r="M192">
        <v>0</v>
      </c>
      <c r="N192">
        <v>0.12</v>
      </c>
      <c r="O192">
        <v>0.50444500000000003</v>
      </c>
      <c r="P192">
        <v>619330266894</v>
      </c>
      <c r="Q192">
        <v>1</v>
      </c>
      <c r="R192">
        <v>0.18</v>
      </c>
      <c r="S192">
        <v>37490140797</v>
      </c>
      <c r="T192">
        <v>0</v>
      </c>
    </row>
    <row r="193" spans="1:20">
      <c r="A193" t="s">
        <v>276</v>
      </c>
      <c r="B193" t="s">
        <v>64</v>
      </c>
      <c r="C193" t="s">
        <v>77</v>
      </c>
      <c r="D193" t="s">
        <v>97</v>
      </c>
      <c r="E193" t="s">
        <v>71</v>
      </c>
      <c r="F193">
        <v>585000000000</v>
      </c>
      <c r="G193">
        <v>187342513964</v>
      </c>
      <c r="H193" t="s">
        <v>54</v>
      </c>
      <c r="I193">
        <v>0.3075</v>
      </c>
      <c r="J193">
        <v>2.8340000000000001</v>
      </c>
      <c r="K193">
        <v>4.9420000000000002</v>
      </c>
      <c r="L193">
        <v>5</v>
      </c>
      <c r="M193">
        <v>0</v>
      </c>
      <c r="N193">
        <v>1.5796000000000001E-2</v>
      </c>
      <c r="O193">
        <v>0.35763</v>
      </c>
      <c r="P193">
        <v>659937005585</v>
      </c>
      <c r="Q193">
        <v>1</v>
      </c>
      <c r="R193">
        <v>2.3694E-2</v>
      </c>
      <c r="S193">
        <v>3728086795</v>
      </c>
      <c r="T193">
        <v>0</v>
      </c>
    </row>
    <row r="194" spans="1:20">
      <c r="A194" t="s">
        <v>277</v>
      </c>
      <c r="B194" t="s">
        <v>64</v>
      </c>
      <c r="C194" t="s">
        <v>83</v>
      </c>
      <c r="D194" t="s">
        <v>61</v>
      </c>
      <c r="E194" t="s">
        <v>71</v>
      </c>
      <c r="F194">
        <v>308000000000</v>
      </c>
      <c r="G194">
        <v>82036752798</v>
      </c>
      <c r="H194" t="s">
        <v>68</v>
      </c>
      <c r="I194">
        <v>1.1225000000000001</v>
      </c>
      <c r="J194">
        <v>2.109</v>
      </c>
      <c r="K194">
        <v>3.992</v>
      </c>
      <c r="L194">
        <v>0</v>
      </c>
      <c r="M194">
        <v>1</v>
      </c>
      <c r="N194">
        <v>1.6428999999999999E-2</v>
      </c>
      <c r="O194">
        <v>0.64286600000000005</v>
      </c>
      <c r="P194">
        <v>340814701119</v>
      </c>
      <c r="Q194">
        <v>1</v>
      </c>
      <c r="R194">
        <v>2.4643000000000002E-2</v>
      </c>
      <c r="S194">
        <v>3599490411</v>
      </c>
      <c r="T194">
        <v>0</v>
      </c>
    </row>
    <row r="195" spans="1:20">
      <c r="A195" t="s">
        <v>278</v>
      </c>
      <c r="B195" t="s">
        <v>59</v>
      </c>
      <c r="C195" t="s">
        <v>77</v>
      </c>
      <c r="D195" t="s">
        <v>55</v>
      </c>
      <c r="E195" t="s">
        <v>62</v>
      </c>
      <c r="F195">
        <v>448000000000</v>
      </c>
      <c r="G195">
        <v>31330767146</v>
      </c>
      <c r="H195" t="s">
        <v>78</v>
      </c>
      <c r="I195">
        <v>0.48230000000000001</v>
      </c>
      <c r="J195">
        <v>2.1160000000000001</v>
      </c>
      <c r="K195">
        <v>4.5469999999999997</v>
      </c>
      <c r="L195">
        <v>95</v>
      </c>
      <c r="M195">
        <v>0</v>
      </c>
      <c r="N195">
        <v>6.9223999999999994E-2</v>
      </c>
      <c r="O195">
        <v>0.26879700000000001</v>
      </c>
      <c r="P195">
        <v>460532306858</v>
      </c>
      <c r="Q195">
        <v>3</v>
      </c>
      <c r="R195">
        <v>6.9223999999999994E-2</v>
      </c>
      <c r="S195">
        <v>8569163772</v>
      </c>
      <c r="T195">
        <v>1</v>
      </c>
    </row>
    <row r="196" spans="1:20">
      <c r="A196" t="s">
        <v>279</v>
      </c>
      <c r="B196" t="s">
        <v>59</v>
      </c>
      <c r="C196" t="s">
        <v>95</v>
      </c>
      <c r="D196" t="s">
        <v>66</v>
      </c>
      <c r="E196" t="s">
        <v>62</v>
      </c>
      <c r="F196">
        <v>1248000000000</v>
      </c>
      <c r="G196">
        <v>464098763946</v>
      </c>
      <c r="H196" t="s">
        <v>84</v>
      </c>
      <c r="I196">
        <v>0.83120000000000005</v>
      </c>
      <c r="J196">
        <v>1.651</v>
      </c>
      <c r="K196">
        <v>3.8410000000000002</v>
      </c>
      <c r="L196">
        <v>0</v>
      </c>
      <c r="M196">
        <v>0</v>
      </c>
      <c r="N196">
        <v>2.7524E-2</v>
      </c>
      <c r="O196">
        <v>0.74092000000000002</v>
      </c>
      <c r="P196">
        <v>1433639505578</v>
      </c>
      <c r="Q196">
        <v>1</v>
      </c>
      <c r="R196">
        <v>4.1286000000000003E-2</v>
      </c>
      <c r="S196">
        <v>29236555547</v>
      </c>
      <c r="T196">
        <v>0</v>
      </c>
    </row>
    <row r="197" spans="1:20">
      <c r="A197" t="s">
        <v>280</v>
      </c>
      <c r="B197" t="s">
        <v>86</v>
      </c>
      <c r="C197" t="s">
        <v>54</v>
      </c>
      <c r="D197" t="s">
        <v>75</v>
      </c>
      <c r="E197" t="s">
        <v>143</v>
      </c>
      <c r="F197">
        <v>2279000000000</v>
      </c>
      <c r="G197">
        <v>767191851534</v>
      </c>
      <c r="H197" t="s">
        <v>68</v>
      </c>
      <c r="I197">
        <v>0.93189999999999995</v>
      </c>
      <c r="J197">
        <v>1.8009999999999999</v>
      </c>
      <c r="K197">
        <v>4.7590000000000003</v>
      </c>
      <c r="L197">
        <v>0</v>
      </c>
      <c r="M197">
        <v>1</v>
      </c>
      <c r="N197">
        <v>0.40910099999999999</v>
      </c>
      <c r="O197">
        <v>0.57617300000000005</v>
      </c>
      <c r="P197">
        <v>2854393888650</v>
      </c>
      <c r="Q197">
        <v>1</v>
      </c>
      <c r="R197">
        <v>0.61365099999999995</v>
      </c>
      <c r="S197">
        <v>672816419509</v>
      </c>
      <c r="T197">
        <v>0</v>
      </c>
    </row>
    <row r="198" spans="1:20">
      <c r="A198" t="s">
        <v>281</v>
      </c>
      <c r="B198" t="s">
        <v>64</v>
      </c>
      <c r="C198" t="s">
        <v>91</v>
      </c>
      <c r="D198" t="s">
        <v>81</v>
      </c>
      <c r="E198" t="s">
        <v>67</v>
      </c>
      <c r="F198">
        <v>346000000000</v>
      </c>
      <c r="G198">
        <v>90667815880</v>
      </c>
      <c r="H198" t="s">
        <v>84</v>
      </c>
      <c r="I198">
        <v>0.82969999999999999</v>
      </c>
      <c r="J198">
        <v>2.8050000000000002</v>
      </c>
      <c r="K198">
        <v>3.706</v>
      </c>
      <c r="L198">
        <v>0</v>
      </c>
      <c r="M198">
        <v>2</v>
      </c>
      <c r="N198">
        <v>0.19017100000000001</v>
      </c>
      <c r="O198">
        <v>0.740402</v>
      </c>
      <c r="P198">
        <v>382267126352</v>
      </c>
      <c r="Q198">
        <v>2</v>
      </c>
      <c r="R198">
        <v>0.57051399999999997</v>
      </c>
      <c r="S198">
        <v>161473312308</v>
      </c>
      <c r="T198">
        <v>0</v>
      </c>
    </row>
    <row r="199" spans="1:20">
      <c r="A199" t="s">
        <v>282</v>
      </c>
      <c r="B199" t="s">
        <v>59</v>
      </c>
      <c r="C199" t="s">
        <v>65</v>
      </c>
      <c r="D199" t="s">
        <v>81</v>
      </c>
      <c r="E199" t="s">
        <v>89</v>
      </c>
      <c r="F199">
        <v>1776000000000</v>
      </c>
      <c r="G199">
        <v>656690972904</v>
      </c>
      <c r="H199" t="s">
        <v>78</v>
      </c>
      <c r="I199">
        <v>0.72550000000000003</v>
      </c>
      <c r="J199">
        <v>1.694</v>
      </c>
      <c r="K199">
        <v>3.41</v>
      </c>
      <c r="L199">
        <v>0</v>
      </c>
      <c r="M199">
        <v>0</v>
      </c>
      <c r="N199">
        <v>5.2459999999999998E-3</v>
      </c>
      <c r="O199">
        <v>0.35392499999999999</v>
      </c>
      <c r="P199">
        <v>2038676389161</v>
      </c>
      <c r="Q199">
        <v>1</v>
      </c>
      <c r="R199">
        <v>7.8689999999999993E-3</v>
      </c>
      <c r="S199">
        <v>3785160389</v>
      </c>
      <c r="T199">
        <v>0</v>
      </c>
    </row>
    <row r="200" spans="1:20">
      <c r="A200" t="s">
        <v>283</v>
      </c>
      <c r="B200" t="s">
        <v>59</v>
      </c>
      <c r="C200" t="s">
        <v>60</v>
      </c>
      <c r="D200" t="s">
        <v>55</v>
      </c>
      <c r="E200" t="s">
        <v>56</v>
      </c>
      <c r="F200">
        <v>2045000000000</v>
      </c>
      <c r="G200">
        <v>379135827844</v>
      </c>
      <c r="H200" t="s">
        <v>72</v>
      </c>
      <c r="I200">
        <v>0.78259999999999996</v>
      </c>
      <c r="J200">
        <v>1.7390000000000001</v>
      </c>
      <c r="K200">
        <v>3.0590000000000002</v>
      </c>
      <c r="L200">
        <v>0</v>
      </c>
      <c r="M200">
        <v>0</v>
      </c>
      <c r="N200">
        <v>5.5385999999999998E-2</v>
      </c>
      <c r="O200">
        <v>0.52391699999999997</v>
      </c>
      <c r="P200">
        <v>2196654331137</v>
      </c>
      <c r="Q200">
        <v>1</v>
      </c>
      <c r="R200">
        <v>8.3079E-2</v>
      </c>
      <c r="S200">
        <v>63742057231</v>
      </c>
      <c r="T200">
        <v>0</v>
      </c>
    </row>
    <row r="201" spans="1:20">
      <c r="A201" t="s">
        <v>284</v>
      </c>
      <c r="B201" t="s">
        <v>64</v>
      </c>
      <c r="C201" t="s">
        <v>91</v>
      </c>
      <c r="D201" t="s">
        <v>66</v>
      </c>
      <c r="E201" t="s">
        <v>67</v>
      </c>
      <c r="F201">
        <v>1411000000000</v>
      </c>
      <c r="G201">
        <v>579504271689</v>
      </c>
      <c r="H201" t="s">
        <v>68</v>
      </c>
      <c r="I201">
        <v>1.2448999999999999</v>
      </c>
      <c r="J201">
        <v>1.2549999999999999</v>
      </c>
      <c r="K201">
        <v>3.1789999999999998</v>
      </c>
      <c r="L201">
        <v>0</v>
      </c>
      <c r="M201">
        <v>2</v>
      </c>
      <c r="N201">
        <v>0.18257899999999999</v>
      </c>
      <c r="O201">
        <v>0.68571099999999996</v>
      </c>
      <c r="P201">
        <v>1642801708675</v>
      </c>
      <c r="Q201">
        <v>2</v>
      </c>
      <c r="R201">
        <v>0.54773799999999995</v>
      </c>
      <c r="S201">
        <v>617020262482</v>
      </c>
      <c r="T201">
        <v>0</v>
      </c>
    </row>
    <row r="202" spans="1:20">
      <c r="A202" t="s">
        <v>285</v>
      </c>
      <c r="B202" t="s">
        <v>64</v>
      </c>
      <c r="C202" t="s">
        <v>74</v>
      </c>
      <c r="D202" t="s">
        <v>61</v>
      </c>
      <c r="E202" t="s">
        <v>143</v>
      </c>
      <c r="F202">
        <v>955000000000</v>
      </c>
      <c r="G202">
        <v>418567845579</v>
      </c>
      <c r="H202" t="s">
        <v>78</v>
      </c>
      <c r="I202">
        <v>1.0865</v>
      </c>
      <c r="J202">
        <v>2.2730000000000001</v>
      </c>
      <c r="K202">
        <v>2.9329999999999998</v>
      </c>
      <c r="L202">
        <v>130</v>
      </c>
      <c r="M202">
        <v>0</v>
      </c>
      <c r="N202">
        <v>0.88666699999999998</v>
      </c>
      <c r="O202">
        <v>0.48027900000000001</v>
      </c>
      <c r="P202">
        <v>1122427138231</v>
      </c>
      <c r="Q202">
        <v>3</v>
      </c>
      <c r="R202">
        <v>0.88666699999999998</v>
      </c>
      <c r="S202">
        <v>477982779942</v>
      </c>
      <c r="T202">
        <v>1</v>
      </c>
    </row>
    <row r="203" spans="1:20">
      <c r="A203" t="s">
        <v>286</v>
      </c>
      <c r="B203" t="s">
        <v>59</v>
      </c>
      <c r="C203" t="s">
        <v>83</v>
      </c>
      <c r="D203" t="s">
        <v>66</v>
      </c>
      <c r="E203" t="s">
        <v>143</v>
      </c>
      <c r="F203">
        <v>1304000000000</v>
      </c>
      <c r="G203">
        <v>473084160240</v>
      </c>
      <c r="H203" t="s">
        <v>78</v>
      </c>
      <c r="I203">
        <v>0.81630000000000003</v>
      </c>
      <c r="J203">
        <v>1.4059999999999999</v>
      </c>
      <c r="K203">
        <v>0.26500000000000001</v>
      </c>
      <c r="L203">
        <v>65</v>
      </c>
      <c r="M203">
        <v>0</v>
      </c>
      <c r="N203">
        <v>0.58333299999999999</v>
      </c>
      <c r="O203">
        <v>0.38570399999999999</v>
      </c>
      <c r="P203">
        <v>1493233664096</v>
      </c>
      <c r="Q203">
        <v>2</v>
      </c>
      <c r="R203">
        <v>0.99</v>
      </c>
      <c r="S203">
        <v>570187120609</v>
      </c>
      <c r="T203">
        <v>0</v>
      </c>
    </row>
    <row r="204" spans="1:20">
      <c r="A204" t="s">
        <v>287</v>
      </c>
      <c r="B204" t="s">
        <v>64</v>
      </c>
      <c r="C204" t="s">
        <v>65</v>
      </c>
      <c r="D204" t="s">
        <v>81</v>
      </c>
      <c r="E204" t="s">
        <v>143</v>
      </c>
      <c r="F204">
        <v>2010000000000</v>
      </c>
      <c r="G204">
        <v>34338203915</v>
      </c>
      <c r="H204" t="s">
        <v>57</v>
      </c>
      <c r="I204">
        <v>1.1046</v>
      </c>
      <c r="J204">
        <v>2.0579999999999998</v>
      </c>
      <c r="K204">
        <v>4.7839999999999998</v>
      </c>
      <c r="L204">
        <v>15</v>
      </c>
      <c r="M204">
        <v>0</v>
      </c>
      <c r="N204">
        <v>0.409937</v>
      </c>
      <c r="O204">
        <v>0.63662300000000005</v>
      </c>
      <c r="P204">
        <v>2023735281566</v>
      </c>
      <c r="Q204">
        <v>1</v>
      </c>
      <c r="R204">
        <v>0.61490500000000003</v>
      </c>
      <c r="S204">
        <v>528144365434</v>
      </c>
      <c r="T204">
        <v>0</v>
      </c>
    </row>
    <row r="205" spans="1:20">
      <c r="A205" t="s">
        <v>288</v>
      </c>
      <c r="B205" t="s">
        <v>53</v>
      </c>
      <c r="C205" t="s">
        <v>60</v>
      </c>
      <c r="D205" t="s">
        <v>75</v>
      </c>
      <c r="E205" t="s">
        <v>89</v>
      </c>
      <c r="F205">
        <v>456000000000</v>
      </c>
      <c r="G205">
        <v>173697878131</v>
      </c>
      <c r="H205" t="s">
        <v>57</v>
      </c>
      <c r="I205">
        <v>1.0904</v>
      </c>
      <c r="J205">
        <v>2.6960000000000002</v>
      </c>
      <c r="K205">
        <v>0.46700000000000003</v>
      </c>
      <c r="L205">
        <v>0</v>
      </c>
      <c r="M205">
        <v>0</v>
      </c>
      <c r="N205">
        <v>5.0000000000000001E-3</v>
      </c>
      <c r="O205">
        <v>0.63164200000000004</v>
      </c>
      <c r="P205">
        <v>586273408598</v>
      </c>
      <c r="Q205">
        <v>1</v>
      </c>
      <c r="R205">
        <v>7.4999999999999997E-3</v>
      </c>
      <c r="S205">
        <v>1851574984</v>
      </c>
      <c r="T205">
        <v>0</v>
      </c>
    </row>
    <row r="206" spans="1:20">
      <c r="A206" t="s">
        <v>289</v>
      </c>
      <c r="B206" t="s">
        <v>53</v>
      </c>
      <c r="C206" t="s">
        <v>80</v>
      </c>
      <c r="D206" t="s">
        <v>75</v>
      </c>
      <c r="E206" t="s">
        <v>56</v>
      </c>
      <c r="F206">
        <v>2661000000000</v>
      </c>
      <c r="G206">
        <v>379930999247</v>
      </c>
      <c r="H206" t="s">
        <v>68</v>
      </c>
      <c r="I206">
        <v>0.78169999999999995</v>
      </c>
      <c r="J206">
        <v>1.119</v>
      </c>
      <c r="K206">
        <v>4.6849999999999996</v>
      </c>
      <c r="L206">
        <v>15</v>
      </c>
      <c r="M206">
        <v>0</v>
      </c>
      <c r="N206">
        <v>8.3445000000000005E-2</v>
      </c>
      <c r="O206">
        <v>0.523594</v>
      </c>
      <c r="P206">
        <v>2945948249435</v>
      </c>
      <c r="Q206">
        <v>1</v>
      </c>
      <c r="R206">
        <v>0.125168</v>
      </c>
      <c r="S206">
        <v>128712691826</v>
      </c>
      <c r="T206">
        <v>0</v>
      </c>
    </row>
    <row r="207" spans="1:20">
      <c r="A207" t="s">
        <v>290</v>
      </c>
      <c r="B207" t="s">
        <v>86</v>
      </c>
      <c r="C207" t="s">
        <v>54</v>
      </c>
      <c r="D207" t="s">
        <v>55</v>
      </c>
      <c r="E207" t="s">
        <v>71</v>
      </c>
      <c r="F207">
        <v>1605000000000</v>
      </c>
      <c r="G207">
        <v>614459218357</v>
      </c>
      <c r="H207" t="s">
        <v>78</v>
      </c>
      <c r="I207">
        <v>1.0818000000000001</v>
      </c>
      <c r="J207">
        <v>1.893</v>
      </c>
      <c r="K207">
        <v>1.403</v>
      </c>
      <c r="L207">
        <v>15</v>
      </c>
      <c r="M207">
        <v>0</v>
      </c>
      <c r="N207">
        <v>1.4999999999999999E-2</v>
      </c>
      <c r="O207">
        <v>0.47862700000000002</v>
      </c>
      <c r="P207">
        <v>2065844413767</v>
      </c>
      <c r="Q207">
        <v>1</v>
      </c>
      <c r="R207">
        <v>2.2499999999999999E-2</v>
      </c>
      <c r="S207">
        <v>14831528950</v>
      </c>
      <c r="T207">
        <v>0</v>
      </c>
    </row>
    <row r="208" spans="1:20">
      <c r="A208" t="s">
        <v>291</v>
      </c>
      <c r="B208" t="s">
        <v>59</v>
      </c>
      <c r="C208" t="s">
        <v>95</v>
      </c>
      <c r="D208" t="s">
        <v>88</v>
      </c>
      <c r="E208" t="s">
        <v>71</v>
      </c>
      <c r="F208">
        <v>689000000000</v>
      </c>
      <c r="G208">
        <v>197249708113</v>
      </c>
      <c r="H208" t="s">
        <v>72</v>
      </c>
      <c r="I208">
        <v>1.2114</v>
      </c>
      <c r="J208">
        <v>1.5649999999999999</v>
      </c>
      <c r="K208">
        <v>2.11</v>
      </c>
      <c r="L208">
        <v>0</v>
      </c>
      <c r="M208">
        <v>0</v>
      </c>
      <c r="N208">
        <v>1.2E-2</v>
      </c>
      <c r="O208">
        <v>0.67400300000000002</v>
      </c>
      <c r="P208">
        <v>767899883245</v>
      </c>
      <c r="Q208">
        <v>1</v>
      </c>
      <c r="R208">
        <v>1.7999999999999999E-2</v>
      </c>
      <c r="S208">
        <v>6210797341</v>
      </c>
      <c r="T208">
        <v>0</v>
      </c>
    </row>
    <row r="209" spans="1:20">
      <c r="A209" t="s">
        <v>292</v>
      </c>
      <c r="B209" t="s">
        <v>64</v>
      </c>
      <c r="C209" t="s">
        <v>80</v>
      </c>
      <c r="D209" t="s">
        <v>75</v>
      </c>
      <c r="E209" t="s">
        <v>167</v>
      </c>
      <c r="F209">
        <v>683000000000</v>
      </c>
      <c r="G209">
        <v>271867056458</v>
      </c>
      <c r="H209" t="s">
        <v>68</v>
      </c>
      <c r="I209">
        <v>0.876</v>
      </c>
      <c r="J209">
        <v>1.264</v>
      </c>
      <c r="K209">
        <v>3.2589999999999999</v>
      </c>
      <c r="L209">
        <v>0</v>
      </c>
      <c r="M209">
        <v>1</v>
      </c>
      <c r="N209">
        <v>2.562E-3</v>
      </c>
      <c r="O209">
        <v>0.55659700000000001</v>
      </c>
      <c r="P209">
        <v>791746822583</v>
      </c>
      <c r="Q209">
        <v>1</v>
      </c>
      <c r="R209">
        <v>3.8430000000000001E-3</v>
      </c>
      <c r="S209">
        <v>1129139482</v>
      </c>
      <c r="T209">
        <v>0</v>
      </c>
    </row>
    <row r="210" spans="1:20">
      <c r="A210" t="s">
        <v>293</v>
      </c>
      <c r="B210" t="s">
        <v>59</v>
      </c>
      <c r="C210" t="s">
        <v>54</v>
      </c>
      <c r="D210" t="s">
        <v>88</v>
      </c>
      <c r="E210" t="s">
        <v>62</v>
      </c>
      <c r="F210">
        <v>1071000000000</v>
      </c>
      <c r="G210">
        <v>458653564244</v>
      </c>
      <c r="H210" t="s">
        <v>72</v>
      </c>
      <c r="I210">
        <v>0.95909999999999995</v>
      </c>
      <c r="J210">
        <v>1.9510000000000001</v>
      </c>
      <c r="K210">
        <v>1.589</v>
      </c>
      <c r="L210">
        <v>0</v>
      </c>
      <c r="M210">
        <v>0</v>
      </c>
      <c r="N210">
        <v>2.5000000000000001E-2</v>
      </c>
      <c r="O210">
        <v>0.58568500000000001</v>
      </c>
      <c r="P210">
        <v>1254461425697</v>
      </c>
      <c r="Q210">
        <v>1</v>
      </c>
      <c r="R210">
        <v>3.7499999999999999E-2</v>
      </c>
      <c r="S210">
        <v>18367965962</v>
      </c>
      <c r="T210">
        <v>0</v>
      </c>
    </row>
    <row r="211" spans="1:20">
      <c r="A211" t="s">
        <v>294</v>
      </c>
      <c r="B211" t="s">
        <v>64</v>
      </c>
      <c r="C211" t="s">
        <v>83</v>
      </c>
      <c r="D211" t="s">
        <v>75</v>
      </c>
      <c r="E211" t="s">
        <v>89</v>
      </c>
      <c r="F211">
        <v>645000000000</v>
      </c>
      <c r="G211">
        <v>15544554307</v>
      </c>
      <c r="H211" t="s">
        <v>68</v>
      </c>
      <c r="I211">
        <v>0.72550000000000003</v>
      </c>
      <c r="J211">
        <v>1.0740000000000001</v>
      </c>
      <c r="K211">
        <v>6.5090000000000003</v>
      </c>
      <c r="L211">
        <v>65</v>
      </c>
      <c r="M211">
        <v>0</v>
      </c>
      <c r="N211">
        <v>1.3027E-2</v>
      </c>
      <c r="O211">
        <v>0.50391600000000003</v>
      </c>
      <c r="P211">
        <v>651217821722</v>
      </c>
      <c r="Q211">
        <v>2</v>
      </c>
      <c r="R211">
        <v>3.9081999999999999E-2</v>
      </c>
      <c r="S211">
        <v>12825137004</v>
      </c>
      <c r="T211">
        <v>0</v>
      </c>
    </row>
    <row r="212" spans="1:20">
      <c r="A212" t="s">
        <v>295</v>
      </c>
      <c r="B212" t="s">
        <v>64</v>
      </c>
      <c r="C212" t="s">
        <v>80</v>
      </c>
      <c r="D212" t="s">
        <v>66</v>
      </c>
      <c r="E212" t="s">
        <v>71</v>
      </c>
      <c r="F212">
        <v>631000000000</v>
      </c>
      <c r="G212">
        <v>15476652641</v>
      </c>
      <c r="H212" t="s">
        <v>68</v>
      </c>
      <c r="I212">
        <v>0.93559999999999999</v>
      </c>
      <c r="J212">
        <v>1.806</v>
      </c>
      <c r="K212">
        <v>4.0780000000000003</v>
      </c>
      <c r="L212">
        <v>0</v>
      </c>
      <c r="M212">
        <v>0</v>
      </c>
      <c r="N212">
        <v>1.3553000000000001E-2</v>
      </c>
      <c r="O212">
        <v>0.57747000000000004</v>
      </c>
      <c r="P212">
        <v>637190661056</v>
      </c>
      <c r="Q212">
        <v>1</v>
      </c>
      <c r="R212">
        <v>2.0329E-2</v>
      </c>
      <c r="S212">
        <v>4986789626</v>
      </c>
      <c r="T212">
        <v>0</v>
      </c>
    </row>
    <row r="213" spans="1:20">
      <c r="A213" t="s">
        <v>296</v>
      </c>
      <c r="B213" t="s">
        <v>64</v>
      </c>
      <c r="C213" t="s">
        <v>80</v>
      </c>
      <c r="D213" t="s">
        <v>66</v>
      </c>
      <c r="E213" t="s">
        <v>71</v>
      </c>
      <c r="F213">
        <v>1087000000000</v>
      </c>
      <c r="G213">
        <v>44579603653</v>
      </c>
      <c r="H213" t="s">
        <v>84</v>
      </c>
      <c r="I213">
        <v>0.86109999999999998</v>
      </c>
      <c r="J213">
        <v>1.462</v>
      </c>
      <c r="K213">
        <v>2.9550000000000001</v>
      </c>
      <c r="L213">
        <v>0</v>
      </c>
      <c r="M213">
        <v>0</v>
      </c>
      <c r="N213">
        <v>1.2E-2</v>
      </c>
      <c r="O213">
        <v>0.75139800000000001</v>
      </c>
      <c r="P213">
        <v>1104831841461</v>
      </c>
      <c r="Q213">
        <v>1</v>
      </c>
      <c r="R213">
        <v>1.7999999999999999E-2</v>
      </c>
      <c r="S213">
        <v>9962024007</v>
      </c>
      <c r="T213">
        <v>0</v>
      </c>
    </row>
    <row r="214" spans="1:20">
      <c r="A214" t="s">
        <v>297</v>
      </c>
      <c r="B214" t="s">
        <v>59</v>
      </c>
      <c r="C214" t="s">
        <v>54</v>
      </c>
      <c r="D214" t="s">
        <v>97</v>
      </c>
      <c r="E214" t="s">
        <v>62</v>
      </c>
      <c r="F214">
        <v>2735000000000</v>
      </c>
      <c r="G214">
        <v>119016750827</v>
      </c>
      <c r="H214" t="s">
        <v>84</v>
      </c>
      <c r="I214">
        <v>0.67120000000000002</v>
      </c>
      <c r="J214">
        <v>0.93</v>
      </c>
      <c r="K214">
        <v>1.1819999999999999</v>
      </c>
      <c r="L214">
        <v>0</v>
      </c>
      <c r="M214">
        <v>0</v>
      </c>
      <c r="N214">
        <v>3.0402999999999999E-2</v>
      </c>
      <c r="O214">
        <v>0.68491999999999997</v>
      </c>
      <c r="P214">
        <v>2782606700330</v>
      </c>
      <c r="Q214">
        <v>1</v>
      </c>
      <c r="R214">
        <v>4.5605E-2</v>
      </c>
      <c r="S214">
        <v>57944842805</v>
      </c>
      <c r="T214">
        <v>0</v>
      </c>
    </row>
    <row r="215" spans="1:20">
      <c r="A215" t="s">
        <v>298</v>
      </c>
      <c r="B215" t="s">
        <v>59</v>
      </c>
      <c r="C215" t="s">
        <v>65</v>
      </c>
      <c r="D215" t="s">
        <v>75</v>
      </c>
      <c r="E215" t="s">
        <v>67</v>
      </c>
      <c r="F215">
        <v>2927000000000</v>
      </c>
      <c r="G215">
        <v>45742635288</v>
      </c>
      <c r="H215" t="s">
        <v>68</v>
      </c>
      <c r="I215">
        <v>0.92020000000000002</v>
      </c>
      <c r="J215">
        <v>1.202</v>
      </c>
      <c r="K215">
        <v>2.4689999999999999</v>
      </c>
      <c r="L215">
        <v>0</v>
      </c>
      <c r="M215">
        <v>2</v>
      </c>
      <c r="N215">
        <v>0.18</v>
      </c>
      <c r="O215">
        <v>0.57208499999999995</v>
      </c>
      <c r="P215">
        <v>2945297054115</v>
      </c>
      <c r="Q215">
        <v>2</v>
      </c>
      <c r="R215">
        <v>0.54</v>
      </c>
      <c r="S215">
        <v>909878210252</v>
      </c>
      <c r="T215">
        <v>0</v>
      </c>
    </row>
    <row r="216" spans="1:20">
      <c r="A216" t="s">
        <v>299</v>
      </c>
      <c r="B216" t="s">
        <v>59</v>
      </c>
      <c r="C216" t="s">
        <v>83</v>
      </c>
      <c r="D216" t="s">
        <v>66</v>
      </c>
      <c r="E216" t="s">
        <v>67</v>
      </c>
      <c r="F216">
        <v>2800000000000</v>
      </c>
      <c r="G216">
        <v>548595489370</v>
      </c>
      <c r="H216" t="s">
        <v>54</v>
      </c>
      <c r="I216">
        <v>0.93089999999999995</v>
      </c>
      <c r="J216">
        <v>1.7869999999999999</v>
      </c>
      <c r="K216">
        <v>3.7450000000000001</v>
      </c>
      <c r="L216">
        <v>0</v>
      </c>
      <c r="M216">
        <v>0</v>
      </c>
      <c r="N216">
        <v>0.13073100000000001</v>
      </c>
      <c r="O216">
        <v>0.575824</v>
      </c>
      <c r="P216">
        <v>3019438195748</v>
      </c>
      <c r="Q216">
        <v>1</v>
      </c>
      <c r="R216">
        <v>0.19609599999999999</v>
      </c>
      <c r="S216">
        <v>227296964122</v>
      </c>
      <c r="T216">
        <v>0</v>
      </c>
    </row>
    <row r="217" spans="1:20">
      <c r="A217" t="s">
        <v>300</v>
      </c>
      <c r="B217" t="s">
        <v>86</v>
      </c>
      <c r="C217" t="s">
        <v>65</v>
      </c>
      <c r="D217" t="s">
        <v>97</v>
      </c>
      <c r="E217" t="s">
        <v>62</v>
      </c>
      <c r="F217">
        <v>2870000000000</v>
      </c>
      <c r="G217">
        <v>804679314772</v>
      </c>
      <c r="H217" t="s">
        <v>54</v>
      </c>
      <c r="I217">
        <v>0.41439999999999999</v>
      </c>
      <c r="J217">
        <v>1.232</v>
      </c>
      <c r="K217">
        <v>2.9940000000000002</v>
      </c>
      <c r="L217">
        <v>0</v>
      </c>
      <c r="M217">
        <v>1</v>
      </c>
      <c r="N217">
        <v>3.125E-2</v>
      </c>
      <c r="O217">
        <v>0.39504400000000001</v>
      </c>
      <c r="P217">
        <v>3473509486079</v>
      </c>
      <c r="Q217">
        <v>1</v>
      </c>
      <c r="R217">
        <v>4.6875E-2</v>
      </c>
      <c r="S217">
        <v>42880895800</v>
      </c>
      <c r="T217">
        <v>0</v>
      </c>
    </row>
    <row r="218" spans="1:20">
      <c r="A218" t="s">
        <v>301</v>
      </c>
      <c r="B218" t="s">
        <v>53</v>
      </c>
      <c r="C218" t="s">
        <v>70</v>
      </c>
      <c r="D218" t="s">
        <v>88</v>
      </c>
      <c r="E218" t="s">
        <v>67</v>
      </c>
      <c r="F218">
        <v>1685000000000</v>
      </c>
      <c r="G218">
        <v>200281599826</v>
      </c>
      <c r="H218" t="s">
        <v>72</v>
      </c>
      <c r="I218">
        <v>0.70330000000000004</v>
      </c>
      <c r="J218">
        <v>1.208</v>
      </c>
      <c r="K218">
        <v>2.3519999999999999</v>
      </c>
      <c r="L218">
        <v>5</v>
      </c>
      <c r="M218">
        <v>0</v>
      </c>
      <c r="N218">
        <v>0.13</v>
      </c>
      <c r="O218">
        <v>0.49613800000000002</v>
      </c>
      <c r="P218">
        <v>1835211199869</v>
      </c>
      <c r="Q218">
        <v>1</v>
      </c>
      <c r="R218">
        <v>0.19500000000000001</v>
      </c>
      <c r="S218">
        <v>118367432097</v>
      </c>
      <c r="T218">
        <v>0</v>
      </c>
    </row>
    <row r="219" spans="1:20">
      <c r="A219" t="s">
        <v>302</v>
      </c>
      <c r="B219" t="s">
        <v>86</v>
      </c>
      <c r="C219" t="s">
        <v>65</v>
      </c>
      <c r="D219" t="s">
        <v>88</v>
      </c>
      <c r="E219" t="s">
        <v>62</v>
      </c>
      <c r="F219">
        <v>84000000000</v>
      </c>
      <c r="G219">
        <v>12771337877</v>
      </c>
      <c r="H219" t="s">
        <v>72</v>
      </c>
      <c r="I219">
        <v>1.0088999999999999</v>
      </c>
      <c r="J219">
        <v>1.929</v>
      </c>
      <c r="K219">
        <v>2.0369999999999999</v>
      </c>
      <c r="L219">
        <v>5</v>
      </c>
      <c r="M219">
        <v>3</v>
      </c>
      <c r="N219">
        <v>4.5832999999999999E-2</v>
      </c>
      <c r="O219">
        <v>0.60312200000000005</v>
      </c>
      <c r="P219">
        <v>93578503407</v>
      </c>
      <c r="Q219">
        <v>2</v>
      </c>
      <c r="R219">
        <v>0.13750000000000001</v>
      </c>
      <c r="S219">
        <v>7760396931</v>
      </c>
      <c r="T219">
        <v>0</v>
      </c>
    </row>
    <row r="220" spans="1:20">
      <c r="A220" t="s">
        <v>303</v>
      </c>
      <c r="B220" t="s">
        <v>59</v>
      </c>
      <c r="C220" t="s">
        <v>91</v>
      </c>
      <c r="D220" t="s">
        <v>88</v>
      </c>
      <c r="E220" t="s">
        <v>62</v>
      </c>
      <c r="F220">
        <v>2479000000000</v>
      </c>
      <c r="G220">
        <v>720148669888</v>
      </c>
      <c r="H220" t="s">
        <v>68</v>
      </c>
      <c r="I220">
        <v>0.90239999999999998</v>
      </c>
      <c r="J220">
        <v>2.1509999999999998</v>
      </c>
      <c r="K220">
        <v>4.2309999999999999</v>
      </c>
      <c r="L220">
        <v>15</v>
      </c>
      <c r="M220">
        <v>0</v>
      </c>
      <c r="N220">
        <v>3.4944000000000003E-2</v>
      </c>
      <c r="O220">
        <v>0.56584000000000001</v>
      </c>
      <c r="P220">
        <v>2767059467955</v>
      </c>
      <c r="Q220">
        <v>1</v>
      </c>
      <c r="R220">
        <v>5.2415999999999997E-2</v>
      </c>
      <c r="S220">
        <v>54712325769</v>
      </c>
      <c r="T220">
        <v>0</v>
      </c>
    </row>
    <row r="221" spans="1:20">
      <c r="A221" t="s">
        <v>304</v>
      </c>
      <c r="B221" t="s">
        <v>53</v>
      </c>
      <c r="C221" t="s">
        <v>83</v>
      </c>
      <c r="D221" t="s">
        <v>61</v>
      </c>
      <c r="E221" t="s">
        <v>56</v>
      </c>
      <c r="F221">
        <v>2331000000000</v>
      </c>
      <c r="G221">
        <v>30365171718</v>
      </c>
      <c r="H221" t="s">
        <v>78</v>
      </c>
      <c r="I221">
        <v>0.44879999999999998</v>
      </c>
      <c r="J221">
        <v>2.1659999999999999</v>
      </c>
      <c r="K221">
        <v>5.6790000000000003</v>
      </c>
      <c r="L221">
        <v>0</v>
      </c>
      <c r="M221">
        <v>2</v>
      </c>
      <c r="N221">
        <v>0.10018100000000001</v>
      </c>
      <c r="O221">
        <v>0.25709300000000002</v>
      </c>
      <c r="P221">
        <v>2353773878788</v>
      </c>
      <c r="Q221">
        <v>2</v>
      </c>
      <c r="R221">
        <v>0.30054399999999998</v>
      </c>
      <c r="S221">
        <v>181870883022</v>
      </c>
      <c r="T221">
        <v>0</v>
      </c>
    </row>
    <row r="222" spans="1:20">
      <c r="A222" t="s">
        <v>305</v>
      </c>
      <c r="B222" t="s">
        <v>64</v>
      </c>
      <c r="C222" t="s">
        <v>74</v>
      </c>
      <c r="D222" t="s">
        <v>61</v>
      </c>
      <c r="E222" t="s">
        <v>67</v>
      </c>
      <c r="F222">
        <v>2792000000000</v>
      </c>
      <c r="G222">
        <v>38399594908</v>
      </c>
      <c r="H222" t="s">
        <v>54</v>
      </c>
      <c r="I222">
        <v>0.4632</v>
      </c>
      <c r="J222">
        <v>2.33</v>
      </c>
      <c r="K222">
        <v>4.444</v>
      </c>
      <c r="L222">
        <v>0</v>
      </c>
      <c r="M222">
        <v>2</v>
      </c>
      <c r="N222">
        <v>0.200793</v>
      </c>
      <c r="O222">
        <v>0.412103</v>
      </c>
      <c r="P222">
        <v>2807359837963</v>
      </c>
      <c r="Q222">
        <v>2</v>
      </c>
      <c r="R222">
        <v>0.60237799999999997</v>
      </c>
      <c r="S222">
        <v>696904177213</v>
      </c>
      <c r="T222">
        <v>0</v>
      </c>
    </row>
    <row r="223" spans="1:20">
      <c r="A223" t="s">
        <v>306</v>
      </c>
      <c r="B223" t="s">
        <v>59</v>
      </c>
      <c r="C223" t="s">
        <v>54</v>
      </c>
      <c r="D223" t="s">
        <v>55</v>
      </c>
      <c r="E223" t="s">
        <v>89</v>
      </c>
      <c r="F223">
        <v>879000000000</v>
      </c>
      <c r="G223">
        <v>339030330191</v>
      </c>
      <c r="H223" t="s">
        <v>78</v>
      </c>
      <c r="I223">
        <v>0.75370000000000004</v>
      </c>
      <c r="J223">
        <v>1.3029999999999999</v>
      </c>
      <c r="K223">
        <v>1.516</v>
      </c>
      <c r="L223">
        <v>0</v>
      </c>
      <c r="M223">
        <v>1</v>
      </c>
      <c r="N223">
        <v>6.2500000000000003E-3</v>
      </c>
      <c r="O223">
        <v>0.36378100000000002</v>
      </c>
      <c r="P223">
        <v>1014612132076</v>
      </c>
      <c r="Q223">
        <v>1</v>
      </c>
      <c r="R223">
        <v>9.3749999999999997E-3</v>
      </c>
      <c r="S223">
        <v>2306856493</v>
      </c>
      <c r="T223">
        <v>0</v>
      </c>
    </row>
    <row r="224" spans="1:20">
      <c r="A224" t="s">
        <v>307</v>
      </c>
      <c r="B224" t="s">
        <v>64</v>
      </c>
      <c r="C224" t="s">
        <v>83</v>
      </c>
      <c r="D224" t="s">
        <v>66</v>
      </c>
      <c r="E224" t="s">
        <v>67</v>
      </c>
      <c r="F224">
        <v>918000000000</v>
      </c>
      <c r="G224">
        <v>104262491326</v>
      </c>
      <c r="H224" t="s">
        <v>54</v>
      </c>
      <c r="I224">
        <v>0.70789999999999997</v>
      </c>
      <c r="J224">
        <v>1.3580000000000001</v>
      </c>
      <c r="K224">
        <v>5.1660000000000004</v>
      </c>
      <c r="L224">
        <v>0</v>
      </c>
      <c r="M224">
        <v>0</v>
      </c>
      <c r="N224">
        <v>0.15118599999999999</v>
      </c>
      <c r="O224">
        <v>0.497776</v>
      </c>
      <c r="P224">
        <v>959704996530</v>
      </c>
      <c r="Q224">
        <v>1</v>
      </c>
      <c r="R224">
        <v>0.22678000000000001</v>
      </c>
      <c r="S224">
        <v>72224475662</v>
      </c>
      <c r="T224">
        <v>0</v>
      </c>
    </row>
    <row r="225" spans="1:20">
      <c r="A225" t="s">
        <v>308</v>
      </c>
      <c r="B225" t="s">
        <v>59</v>
      </c>
      <c r="C225" t="s">
        <v>60</v>
      </c>
      <c r="D225" t="s">
        <v>88</v>
      </c>
      <c r="E225" t="s">
        <v>56</v>
      </c>
      <c r="F225">
        <v>2715000000000</v>
      </c>
      <c r="G225">
        <v>1180803603992</v>
      </c>
      <c r="H225" t="s">
        <v>78</v>
      </c>
      <c r="I225">
        <v>0.9395</v>
      </c>
      <c r="J225">
        <v>2.1760000000000002</v>
      </c>
      <c r="K225">
        <v>1.679</v>
      </c>
      <c r="L225">
        <v>5</v>
      </c>
      <c r="M225">
        <v>0</v>
      </c>
      <c r="N225">
        <v>5.9582999999999997E-2</v>
      </c>
      <c r="O225">
        <v>0.428842</v>
      </c>
      <c r="P225">
        <v>3187321441596</v>
      </c>
      <c r="Q225">
        <v>1</v>
      </c>
      <c r="R225">
        <v>8.9374999999999996E-2</v>
      </c>
      <c r="S225">
        <v>81441975186</v>
      </c>
      <c r="T225">
        <v>0</v>
      </c>
    </row>
    <row r="226" spans="1:20">
      <c r="A226" t="s">
        <v>309</v>
      </c>
      <c r="B226" t="s">
        <v>59</v>
      </c>
      <c r="C226" t="s">
        <v>70</v>
      </c>
      <c r="D226" t="s">
        <v>61</v>
      </c>
      <c r="E226" t="s">
        <v>62</v>
      </c>
      <c r="F226">
        <v>2670000000000</v>
      </c>
      <c r="G226">
        <v>358997520970</v>
      </c>
      <c r="H226" t="s">
        <v>84</v>
      </c>
      <c r="I226">
        <v>1.0503</v>
      </c>
      <c r="J226">
        <v>2.5579999999999998</v>
      </c>
      <c r="K226">
        <v>5.2460000000000004</v>
      </c>
      <c r="L226">
        <v>5</v>
      </c>
      <c r="M226">
        <v>0</v>
      </c>
      <c r="N226">
        <v>3.3822999999999999E-2</v>
      </c>
      <c r="O226">
        <v>0.81761499999999998</v>
      </c>
      <c r="P226">
        <v>2813599008388</v>
      </c>
      <c r="Q226">
        <v>1</v>
      </c>
      <c r="R226">
        <v>5.0734000000000001E-2</v>
      </c>
      <c r="S226">
        <v>77806967106</v>
      </c>
      <c r="T226">
        <v>0</v>
      </c>
    </row>
    <row r="227" spans="1:20">
      <c r="A227" t="s">
        <v>310</v>
      </c>
      <c r="B227" t="s">
        <v>64</v>
      </c>
      <c r="C227" t="s">
        <v>80</v>
      </c>
      <c r="D227" t="s">
        <v>97</v>
      </c>
      <c r="E227" t="s">
        <v>62</v>
      </c>
      <c r="F227">
        <v>146000000000</v>
      </c>
      <c r="G227">
        <v>38304657248</v>
      </c>
      <c r="H227" t="s">
        <v>84</v>
      </c>
      <c r="I227">
        <v>0.59379999999999999</v>
      </c>
      <c r="J227">
        <v>2.8109999999999999</v>
      </c>
      <c r="K227">
        <v>3.1150000000000002</v>
      </c>
      <c r="L227">
        <v>5</v>
      </c>
      <c r="M227">
        <v>0</v>
      </c>
      <c r="N227">
        <v>2.7428999999999999E-2</v>
      </c>
      <c r="O227">
        <v>0.65781800000000001</v>
      </c>
      <c r="P227">
        <v>161321862899</v>
      </c>
      <c r="Q227">
        <v>1</v>
      </c>
      <c r="R227">
        <v>4.1142999999999999E-2</v>
      </c>
      <c r="S227">
        <v>2910736624</v>
      </c>
      <c r="T227">
        <v>0</v>
      </c>
    </row>
    <row r="228" spans="1:20">
      <c r="A228" t="s">
        <v>311</v>
      </c>
      <c r="B228" t="s">
        <v>53</v>
      </c>
      <c r="C228" t="s">
        <v>83</v>
      </c>
      <c r="D228" t="s">
        <v>88</v>
      </c>
      <c r="E228" t="s">
        <v>62</v>
      </c>
      <c r="F228">
        <v>743000000000</v>
      </c>
      <c r="G228">
        <v>98226698073</v>
      </c>
      <c r="H228" t="s">
        <v>78</v>
      </c>
      <c r="I228">
        <v>0.52680000000000005</v>
      </c>
      <c r="J228">
        <v>1.9650000000000001</v>
      </c>
      <c r="K228">
        <v>2.9220000000000002</v>
      </c>
      <c r="L228">
        <v>35</v>
      </c>
      <c r="M228">
        <v>0</v>
      </c>
      <c r="N228">
        <v>3.9583E-2</v>
      </c>
      <c r="O228">
        <v>0.28438600000000003</v>
      </c>
      <c r="P228">
        <v>816670023554</v>
      </c>
      <c r="Q228">
        <v>2</v>
      </c>
      <c r="R228">
        <v>0.11874999999999999</v>
      </c>
      <c r="S228">
        <v>27579583049</v>
      </c>
      <c r="T228">
        <v>0</v>
      </c>
    </row>
    <row r="229" spans="1:20">
      <c r="A229" t="s">
        <v>312</v>
      </c>
      <c r="B229" t="s">
        <v>53</v>
      </c>
      <c r="C229" t="s">
        <v>80</v>
      </c>
      <c r="D229" t="s">
        <v>97</v>
      </c>
      <c r="E229" t="s">
        <v>67</v>
      </c>
      <c r="F229">
        <v>1524000000000</v>
      </c>
      <c r="G229">
        <v>178691523641</v>
      </c>
      <c r="H229" t="s">
        <v>72</v>
      </c>
      <c r="I229">
        <v>0.59709999999999996</v>
      </c>
      <c r="J229">
        <v>1.5069999999999999</v>
      </c>
      <c r="K229">
        <v>5.8289999999999997</v>
      </c>
      <c r="L229">
        <v>0</v>
      </c>
      <c r="M229">
        <v>2</v>
      </c>
      <c r="N229">
        <v>0.22073499999999999</v>
      </c>
      <c r="O229">
        <v>0.458984</v>
      </c>
      <c r="P229">
        <v>1658018642730</v>
      </c>
      <c r="Q229">
        <v>2</v>
      </c>
      <c r="R229">
        <v>0.66220599999999996</v>
      </c>
      <c r="S229">
        <v>503941870388</v>
      </c>
      <c r="T229">
        <v>0</v>
      </c>
    </row>
    <row r="230" spans="1:20">
      <c r="A230" t="s">
        <v>313</v>
      </c>
      <c r="B230" t="s">
        <v>64</v>
      </c>
      <c r="C230" t="s">
        <v>80</v>
      </c>
      <c r="D230" t="s">
        <v>55</v>
      </c>
      <c r="E230" t="s">
        <v>71</v>
      </c>
      <c r="F230">
        <v>223000000000</v>
      </c>
      <c r="G230">
        <v>87389711836</v>
      </c>
      <c r="H230" t="s">
        <v>68</v>
      </c>
      <c r="I230">
        <v>1.2144999999999999</v>
      </c>
      <c r="J230">
        <v>3.194</v>
      </c>
      <c r="K230">
        <v>0.92700000000000005</v>
      </c>
      <c r="L230">
        <v>0</v>
      </c>
      <c r="M230">
        <v>1</v>
      </c>
      <c r="N230">
        <v>1.4999999999999999E-2</v>
      </c>
      <c r="O230">
        <v>0.67507899999999998</v>
      </c>
      <c r="P230">
        <v>257955884734</v>
      </c>
      <c r="Q230">
        <v>1</v>
      </c>
      <c r="R230">
        <v>2.2499999999999999E-2</v>
      </c>
      <c r="S230">
        <v>2612110858</v>
      </c>
      <c r="T230">
        <v>0</v>
      </c>
    </row>
    <row r="231" spans="1:20">
      <c r="A231" t="s">
        <v>314</v>
      </c>
      <c r="B231" t="s">
        <v>59</v>
      </c>
      <c r="C231" t="s">
        <v>83</v>
      </c>
      <c r="D231" t="s">
        <v>88</v>
      </c>
      <c r="E231" t="s">
        <v>62</v>
      </c>
      <c r="F231">
        <v>21000000000</v>
      </c>
      <c r="G231">
        <v>4271903009</v>
      </c>
      <c r="H231" t="s">
        <v>54</v>
      </c>
      <c r="I231">
        <v>0.28360000000000002</v>
      </c>
      <c r="J231">
        <v>2.0390000000000001</v>
      </c>
      <c r="K231">
        <v>5.5350000000000001</v>
      </c>
      <c r="L231">
        <v>15</v>
      </c>
      <c r="M231">
        <v>1</v>
      </c>
      <c r="N231">
        <v>4.5103999999999998E-2</v>
      </c>
      <c r="O231">
        <v>0.34925699999999998</v>
      </c>
      <c r="P231">
        <v>22708761203</v>
      </c>
      <c r="Q231">
        <v>1</v>
      </c>
      <c r="R231">
        <v>6.7655999999999994E-2</v>
      </c>
      <c r="S231">
        <v>357730023</v>
      </c>
      <c r="T231">
        <v>0</v>
      </c>
    </row>
    <row r="232" spans="1:20">
      <c r="A232" t="s">
        <v>315</v>
      </c>
      <c r="B232" t="s">
        <v>86</v>
      </c>
      <c r="C232" t="s">
        <v>80</v>
      </c>
      <c r="D232" t="s">
        <v>61</v>
      </c>
      <c r="E232" t="s">
        <v>62</v>
      </c>
      <c r="F232">
        <v>21000000000</v>
      </c>
      <c r="G232">
        <v>356504259</v>
      </c>
      <c r="H232" t="s">
        <v>68</v>
      </c>
      <c r="I232">
        <v>0.91039999999999999</v>
      </c>
      <c r="J232">
        <v>2.3050000000000002</v>
      </c>
      <c r="K232">
        <v>4.43</v>
      </c>
      <c r="L232">
        <v>5</v>
      </c>
      <c r="M232">
        <v>0</v>
      </c>
      <c r="N232">
        <v>3.1372999999999998E-2</v>
      </c>
      <c r="O232">
        <v>0.56864099999999995</v>
      </c>
      <c r="P232">
        <v>21267378194</v>
      </c>
      <c r="Q232">
        <v>1</v>
      </c>
      <c r="R232">
        <v>4.7059999999999998E-2</v>
      </c>
      <c r="S232">
        <v>379410364</v>
      </c>
      <c r="T232">
        <v>0</v>
      </c>
    </row>
    <row r="233" spans="1:20">
      <c r="A233" t="s">
        <v>316</v>
      </c>
      <c r="B233" t="s">
        <v>64</v>
      </c>
      <c r="C233" t="s">
        <v>80</v>
      </c>
      <c r="D233" t="s">
        <v>61</v>
      </c>
      <c r="E233" t="s">
        <v>71</v>
      </c>
      <c r="F233">
        <v>686000000000</v>
      </c>
      <c r="G233">
        <v>20154103836</v>
      </c>
      <c r="H233" t="s">
        <v>72</v>
      </c>
      <c r="I233">
        <v>0.73729999999999996</v>
      </c>
      <c r="J233">
        <v>3.085</v>
      </c>
      <c r="K233">
        <v>4.1660000000000004</v>
      </c>
      <c r="L233">
        <v>0</v>
      </c>
      <c r="M233">
        <v>0</v>
      </c>
      <c r="N233">
        <v>1.3679E-2</v>
      </c>
      <c r="O233">
        <v>0.50806399999999996</v>
      </c>
      <c r="P233">
        <v>694061641534</v>
      </c>
      <c r="Q233">
        <v>1</v>
      </c>
      <c r="R233">
        <v>2.0518999999999999E-2</v>
      </c>
      <c r="S233">
        <v>4823599373</v>
      </c>
      <c r="T233">
        <v>0</v>
      </c>
    </row>
    <row r="234" spans="1:20">
      <c r="A234" t="s">
        <v>317</v>
      </c>
      <c r="B234" t="s">
        <v>64</v>
      </c>
      <c r="C234" t="s">
        <v>65</v>
      </c>
      <c r="D234" t="s">
        <v>55</v>
      </c>
      <c r="E234" t="s">
        <v>143</v>
      </c>
      <c r="F234">
        <v>677000000000</v>
      </c>
      <c r="G234">
        <v>288833898356</v>
      </c>
      <c r="H234" t="s">
        <v>57</v>
      </c>
      <c r="I234">
        <v>1.0269999999999999</v>
      </c>
      <c r="J234">
        <v>1.5249999999999999</v>
      </c>
      <c r="K234">
        <v>3.5049999999999999</v>
      </c>
      <c r="L234">
        <v>0</v>
      </c>
      <c r="M234">
        <v>0</v>
      </c>
      <c r="N234">
        <v>0.29697000000000001</v>
      </c>
      <c r="O234">
        <v>0.60945499999999997</v>
      </c>
      <c r="P234">
        <v>792533559342</v>
      </c>
      <c r="Q234">
        <v>1</v>
      </c>
      <c r="R234">
        <v>0.44545400000000002</v>
      </c>
      <c r="S234">
        <v>143440222451</v>
      </c>
      <c r="T234">
        <v>0</v>
      </c>
    </row>
    <row r="235" spans="1:20">
      <c r="A235" t="s">
        <v>318</v>
      </c>
      <c r="B235" t="s">
        <v>53</v>
      </c>
      <c r="C235" t="s">
        <v>70</v>
      </c>
      <c r="D235" t="s">
        <v>55</v>
      </c>
      <c r="E235" t="s">
        <v>67</v>
      </c>
      <c r="F235">
        <v>201000000000</v>
      </c>
      <c r="G235">
        <v>53720431939</v>
      </c>
      <c r="H235" t="s">
        <v>78</v>
      </c>
      <c r="I235">
        <v>1.089</v>
      </c>
      <c r="J235">
        <v>2.0510000000000002</v>
      </c>
      <c r="K235">
        <v>3.399</v>
      </c>
      <c r="L235">
        <v>0</v>
      </c>
      <c r="M235">
        <v>0</v>
      </c>
      <c r="N235">
        <v>0.12574199999999999</v>
      </c>
      <c r="O235">
        <v>0.48114200000000001</v>
      </c>
      <c r="P235">
        <v>241290323954</v>
      </c>
      <c r="Q235">
        <v>1</v>
      </c>
      <c r="R235">
        <v>0.188613</v>
      </c>
      <c r="S235">
        <v>14598029761</v>
      </c>
      <c r="T235">
        <v>0</v>
      </c>
    </row>
    <row r="236" spans="1:20">
      <c r="A236" t="s">
        <v>319</v>
      </c>
      <c r="B236" t="s">
        <v>64</v>
      </c>
      <c r="C236" t="s">
        <v>77</v>
      </c>
      <c r="D236" t="s">
        <v>66</v>
      </c>
      <c r="E236" t="s">
        <v>56</v>
      </c>
      <c r="F236">
        <v>40000000000</v>
      </c>
      <c r="G236">
        <v>5420096185</v>
      </c>
      <c r="H236" t="s">
        <v>84</v>
      </c>
      <c r="I236">
        <v>0.69469999999999998</v>
      </c>
      <c r="J236">
        <v>1.111</v>
      </c>
      <c r="K236">
        <v>2.9609999999999999</v>
      </c>
      <c r="L236">
        <v>0</v>
      </c>
      <c r="M236">
        <v>1</v>
      </c>
      <c r="N236">
        <v>7.2663000000000005E-2</v>
      </c>
      <c r="O236">
        <v>0.693133</v>
      </c>
      <c r="P236">
        <v>42168038474</v>
      </c>
      <c r="Q236">
        <v>1</v>
      </c>
      <c r="R236">
        <v>0.10899499999999999</v>
      </c>
      <c r="S236">
        <v>2123806711</v>
      </c>
      <c r="T236">
        <v>0</v>
      </c>
    </row>
    <row r="237" spans="1:20">
      <c r="A237" t="s">
        <v>320</v>
      </c>
      <c r="B237" t="s">
        <v>64</v>
      </c>
      <c r="C237" t="s">
        <v>77</v>
      </c>
      <c r="D237" t="s">
        <v>81</v>
      </c>
      <c r="E237" t="s">
        <v>71</v>
      </c>
      <c r="F237">
        <v>2144000000000</v>
      </c>
      <c r="G237">
        <v>938865908093</v>
      </c>
      <c r="H237" t="s">
        <v>72</v>
      </c>
      <c r="I237">
        <v>1.1361000000000001</v>
      </c>
      <c r="J237">
        <v>1.446</v>
      </c>
      <c r="K237">
        <v>4.32</v>
      </c>
      <c r="L237">
        <v>65</v>
      </c>
      <c r="M237">
        <v>0</v>
      </c>
      <c r="N237">
        <v>2.69E-2</v>
      </c>
      <c r="O237">
        <v>0.64763099999999996</v>
      </c>
      <c r="P237">
        <v>2519546363237</v>
      </c>
      <c r="Q237">
        <v>2</v>
      </c>
      <c r="R237">
        <v>8.0700999999999995E-2</v>
      </c>
      <c r="S237">
        <v>131682029442</v>
      </c>
      <c r="T237">
        <v>0</v>
      </c>
    </row>
    <row r="238" spans="1:20">
      <c r="A238" t="s">
        <v>321</v>
      </c>
      <c r="B238" t="s">
        <v>86</v>
      </c>
      <c r="C238" t="s">
        <v>95</v>
      </c>
      <c r="D238" t="s">
        <v>81</v>
      </c>
      <c r="E238" t="s">
        <v>167</v>
      </c>
      <c r="F238">
        <v>2742000000000</v>
      </c>
      <c r="G238">
        <v>609674961209</v>
      </c>
      <c r="H238" t="s">
        <v>78</v>
      </c>
      <c r="I238">
        <v>1.1803999999999999</v>
      </c>
      <c r="J238">
        <v>1.5009999999999999</v>
      </c>
      <c r="K238">
        <v>5.2</v>
      </c>
      <c r="L238">
        <v>0</v>
      </c>
      <c r="M238">
        <v>3</v>
      </c>
      <c r="N238">
        <v>4.0280000000000003E-3</v>
      </c>
      <c r="O238">
        <v>0.51313699999999995</v>
      </c>
      <c r="P238">
        <v>3199256220906</v>
      </c>
      <c r="Q238">
        <v>2</v>
      </c>
      <c r="R238">
        <v>1.2083999999999999E-2</v>
      </c>
      <c r="S238">
        <v>19837882657</v>
      </c>
      <c r="T238">
        <v>0</v>
      </c>
    </row>
    <row r="239" spans="1:20">
      <c r="A239" t="s">
        <v>322</v>
      </c>
      <c r="B239" t="s">
        <v>53</v>
      </c>
      <c r="C239" t="s">
        <v>54</v>
      </c>
      <c r="D239" t="s">
        <v>55</v>
      </c>
      <c r="E239" t="s">
        <v>67</v>
      </c>
      <c r="F239">
        <v>2774000000000</v>
      </c>
      <c r="G239">
        <v>390352281621</v>
      </c>
      <c r="H239" t="s">
        <v>72</v>
      </c>
      <c r="I239">
        <v>0.68799999999999994</v>
      </c>
      <c r="J239">
        <v>1.782</v>
      </c>
      <c r="K239">
        <v>2.5760000000000001</v>
      </c>
      <c r="L239">
        <v>35</v>
      </c>
      <c r="M239">
        <v>0</v>
      </c>
      <c r="N239">
        <v>0.19</v>
      </c>
      <c r="O239">
        <v>0.490809</v>
      </c>
      <c r="P239">
        <v>3066764211215</v>
      </c>
      <c r="Q239">
        <v>2</v>
      </c>
      <c r="R239">
        <v>0.56999999999999995</v>
      </c>
      <c r="S239">
        <v>857962253998</v>
      </c>
      <c r="T239">
        <v>0</v>
      </c>
    </row>
    <row r="240" spans="1:20">
      <c r="A240" t="s">
        <v>323</v>
      </c>
      <c r="B240" t="s">
        <v>53</v>
      </c>
      <c r="C240" t="s">
        <v>70</v>
      </c>
      <c r="D240" t="s">
        <v>75</v>
      </c>
      <c r="E240" t="s">
        <v>143</v>
      </c>
      <c r="F240">
        <v>1528000000000</v>
      </c>
      <c r="G240">
        <v>560369445485</v>
      </c>
      <c r="H240" t="s">
        <v>54</v>
      </c>
      <c r="I240">
        <v>0.7329</v>
      </c>
      <c r="J240">
        <v>2.3079999999999998</v>
      </c>
      <c r="K240">
        <v>4.2839999999999998</v>
      </c>
      <c r="L240">
        <v>15</v>
      </c>
      <c r="M240">
        <v>0</v>
      </c>
      <c r="N240">
        <v>0.39314300000000002</v>
      </c>
      <c r="O240">
        <v>0.50650300000000004</v>
      </c>
      <c r="P240">
        <v>1948277084113</v>
      </c>
      <c r="Q240">
        <v>1</v>
      </c>
      <c r="R240">
        <v>0.58971399999999996</v>
      </c>
      <c r="S240">
        <v>387956604266</v>
      </c>
      <c r="T240">
        <v>0</v>
      </c>
    </row>
    <row r="241" spans="1:20">
      <c r="A241" t="s">
        <v>324</v>
      </c>
      <c r="B241" t="s">
        <v>86</v>
      </c>
      <c r="C241" t="s">
        <v>54</v>
      </c>
      <c r="D241" t="s">
        <v>55</v>
      </c>
      <c r="E241" t="s">
        <v>56</v>
      </c>
      <c r="F241">
        <v>426000000000</v>
      </c>
      <c r="G241">
        <v>79752513278</v>
      </c>
      <c r="H241" t="s">
        <v>57</v>
      </c>
      <c r="I241">
        <v>1.1066</v>
      </c>
      <c r="J241">
        <v>0.96599999999999997</v>
      </c>
      <c r="K241">
        <v>1.839</v>
      </c>
      <c r="L241">
        <v>0</v>
      </c>
      <c r="M241">
        <v>0</v>
      </c>
      <c r="N241">
        <v>6.5278000000000003E-2</v>
      </c>
      <c r="O241">
        <v>0.63731599999999999</v>
      </c>
      <c r="P241">
        <v>485814384958</v>
      </c>
      <c r="Q241">
        <v>1</v>
      </c>
      <c r="R241">
        <v>9.7917000000000004E-2</v>
      </c>
      <c r="S241">
        <v>20211154675</v>
      </c>
      <c r="T241">
        <v>0</v>
      </c>
    </row>
    <row r="242" spans="1:20">
      <c r="A242" t="s">
        <v>325</v>
      </c>
      <c r="B242" t="s">
        <v>53</v>
      </c>
      <c r="C242" t="s">
        <v>95</v>
      </c>
      <c r="D242" t="s">
        <v>97</v>
      </c>
      <c r="E242" t="s">
        <v>67</v>
      </c>
      <c r="F242">
        <v>190000000000</v>
      </c>
      <c r="G242">
        <v>5415231975</v>
      </c>
      <c r="H242" t="s">
        <v>68</v>
      </c>
      <c r="I242">
        <v>0.83230000000000004</v>
      </c>
      <c r="J242">
        <v>1.728</v>
      </c>
      <c r="K242">
        <v>4.3559999999999999</v>
      </c>
      <c r="L242">
        <v>0</v>
      </c>
      <c r="M242">
        <v>2</v>
      </c>
      <c r="N242">
        <v>0.19952600000000001</v>
      </c>
      <c r="O242">
        <v>0.54129300000000002</v>
      </c>
      <c r="P242">
        <v>194061423981</v>
      </c>
      <c r="Q242">
        <v>2</v>
      </c>
      <c r="R242">
        <v>0.59857899999999997</v>
      </c>
      <c r="S242">
        <v>62877138710</v>
      </c>
      <c r="T242">
        <v>0</v>
      </c>
    </row>
    <row r="243" spans="1:20">
      <c r="A243" t="s">
        <v>326</v>
      </c>
      <c r="B243" t="s">
        <v>59</v>
      </c>
      <c r="C243" t="s">
        <v>60</v>
      </c>
      <c r="D243" t="s">
        <v>97</v>
      </c>
      <c r="E243" t="s">
        <v>56</v>
      </c>
      <c r="F243">
        <v>2978000000000</v>
      </c>
      <c r="G243">
        <v>333118030799</v>
      </c>
      <c r="H243" t="s">
        <v>84</v>
      </c>
      <c r="I243">
        <v>0.52939999999999998</v>
      </c>
      <c r="J243">
        <v>1.3320000000000001</v>
      </c>
      <c r="K243">
        <v>4.9340000000000002</v>
      </c>
      <c r="L243">
        <v>0</v>
      </c>
      <c r="M243">
        <v>3</v>
      </c>
      <c r="N243">
        <v>0.109011</v>
      </c>
      <c r="O243">
        <v>0.63530500000000001</v>
      </c>
      <c r="P243">
        <v>3111247212319</v>
      </c>
      <c r="Q243">
        <v>2</v>
      </c>
      <c r="R243">
        <v>0.32703399999999999</v>
      </c>
      <c r="S243">
        <v>646412201452</v>
      </c>
      <c r="T243">
        <v>0</v>
      </c>
    </row>
    <row r="244" spans="1:20">
      <c r="A244" t="s">
        <v>327</v>
      </c>
      <c r="B244" t="s">
        <v>53</v>
      </c>
      <c r="C244" t="s">
        <v>65</v>
      </c>
      <c r="D244" t="s">
        <v>66</v>
      </c>
      <c r="E244" t="s">
        <v>67</v>
      </c>
      <c r="F244">
        <v>2015000000000</v>
      </c>
      <c r="G244">
        <v>290734712235</v>
      </c>
      <c r="H244" t="s">
        <v>54</v>
      </c>
      <c r="I244">
        <v>0.57140000000000002</v>
      </c>
      <c r="J244">
        <v>2.1880000000000002</v>
      </c>
      <c r="K244">
        <v>1.431</v>
      </c>
      <c r="L244">
        <v>0</v>
      </c>
      <c r="M244">
        <v>0</v>
      </c>
      <c r="N244">
        <v>0.12</v>
      </c>
      <c r="O244">
        <v>0.44999400000000001</v>
      </c>
      <c r="P244">
        <v>2233051034176</v>
      </c>
      <c r="Q244">
        <v>1</v>
      </c>
      <c r="R244">
        <v>0.18</v>
      </c>
      <c r="S244">
        <v>120583200549</v>
      </c>
      <c r="T244">
        <v>0</v>
      </c>
    </row>
    <row r="245" spans="1:20">
      <c r="A245" t="s">
        <v>328</v>
      </c>
      <c r="B245" t="s">
        <v>59</v>
      </c>
      <c r="C245" t="s">
        <v>91</v>
      </c>
      <c r="D245" t="s">
        <v>97</v>
      </c>
      <c r="E245" t="s">
        <v>62</v>
      </c>
      <c r="F245">
        <v>2678000000000</v>
      </c>
      <c r="G245">
        <v>21413577175</v>
      </c>
      <c r="H245" t="s">
        <v>68</v>
      </c>
      <c r="I245">
        <v>1.1047</v>
      </c>
      <c r="J245">
        <v>1.6779999999999999</v>
      </c>
      <c r="K245">
        <v>3.4159999999999999</v>
      </c>
      <c r="L245">
        <v>15</v>
      </c>
      <c r="M245">
        <v>2</v>
      </c>
      <c r="N245">
        <v>4.4997000000000002E-2</v>
      </c>
      <c r="O245">
        <v>0.636629</v>
      </c>
      <c r="P245">
        <v>2686565430870</v>
      </c>
      <c r="Q245">
        <v>2</v>
      </c>
      <c r="R245">
        <v>0.134991</v>
      </c>
      <c r="S245">
        <v>230880674605</v>
      </c>
      <c r="T245">
        <v>0</v>
      </c>
    </row>
    <row r="246" spans="1:20">
      <c r="A246" t="s">
        <v>329</v>
      </c>
      <c r="B246" t="s">
        <v>86</v>
      </c>
      <c r="C246" t="s">
        <v>65</v>
      </c>
      <c r="D246" t="s">
        <v>61</v>
      </c>
      <c r="E246" t="s">
        <v>71</v>
      </c>
      <c r="F246">
        <v>224000000000</v>
      </c>
      <c r="G246">
        <v>82312139606</v>
      </c>
      <c r="H246" t="s">
        <v>72</v>
      </c>
      <c r="I246">
        <v>0.95030000000000003</v>
      </c>
      <c r="J246">
        <v>1.39</v>
      </c>
      <c r="K246">
        <v>3.407</v>
      </c>
      <c r="L246">
        <v>0</v>
      </c>
      <c r="M246">
        <v>0</v>
      </c>
      <c r="N246">
        <v>1.2586E-2</v>
      </c>
      <c r="O246">
        <v>0.582619</v>
      </c>
      <c r="P246">
        <v>285734104704</v>
      </c>
      <c r="Q246">
        <v>1</v>
      </c>
      <c r="R246">
        <v>1.8879E-2</v>
      </c>
      <c r="S246">
        <v>2095248838</v>
      </c>
      <c r="T246">
        <v>0</v>
      </c>
    </row>
    <row r="247" spans="1:20">
      <c r="A247" t="s">
        <v>330</v>
      </c>
      <c r="B247" t="s">
        <v>64</v>
      </c>
      <c r="C247" t="s">
        <v>70</v>
      </c>
      <c r="D247" t="s">
        <v>66</v>
      </c>
      <c r="E247" t="s">
        <v>62</v>
      </c>
      <c r="F247">
        <v>2877000000000</v>
      </c>
      <c r="G247">
        <v>137650074098</v>
      </c>
      <c r="H247" t="s">
        <v>72</v>
      </c>
      <c r="I247">
        <v>0.66410000000000002</v>
      </c>
      <c r="J247">
        <v>2.3109999999999999</v>
      </c>
      <c r="K247">
        <v>2.2160000000000002</v>
      </c>
      <c r="L247">
        <v>0</v>
      </c>
      <c r="M247">
        <v>0</v>
      </c>
      <c r="N247">
        <v>2.5000000000000001E-2</v>
      </c>
      <c r="O247">
        <v>0.48243999999999998</v>
      </c>
      <c r="P247">
        <v>2932060029639</v>
      </c>
      <c r="Q247">
        <v>1</v>
      </c>
      <c r="R247">
        <v>3.7499999999999999E-2</v>
      </c>
      <c r="S247">
        <v>35363550617</v>
      </c>
      <c r="T247">
        <v>0</v>
      </c>
    </row>
    <row r="248" spans="1:20">
      <c r="A248" t="s">
        <v>331</v>
      </c>
      <c r="B248" t="s">
        <v>53</v>
      </c>
      <c r="C248" t="s">
        <v>65</v>
      </c>
      <c r="D248" t="s">
        <v>81</v>
      </c>
      <c r="E248" t="s">
        <v>62</v>
      </c>
      <c r="F248">
        <v>2937000000000</v>
      </c>
      <c r="G248">
        <v>446629874504</v>
      </c>
      <c r="H248" t="s">
        <v>57</v>
      </c>
      <c r="I248">
        <v>0.8528</v>
      </c>
      <c r="J248">
        <v>1.63</v>
      </c>
      <c r="K248">
        <v>1.8</v>
      </c>
      <c r="L248">
        <v>0</v>
      </c>
      <c r="M248">
        <v>0</v>
      </c>
      <c r="N248">
        <v>2.5000000000000001E-2</v>
      </c>
      <c r="O248">
        <v>0.54847000000000001</v>
      </c>
      <c r="P248">
        <v>3271972405878</v>
      </c>
      <c r="Q248">
        <v>1</v>
      </c>
      <c r="R248">
        <v>3.7499999999999999E-2</v>
      </c>
      <c r="S248">
        <v>44864471050</v>
      </c>
      <c r="T248">
        <v>0</v>
      </c>
    </row>
    <row r="249" spans="1:20">
      <c r="A249" t="s">
        <v>332</v>
      </c>
      <c r="B249" t="s">
        <v>64</v>
      </c>
      <c r="C249" t="s">
        <v>54</v>
      </c>
      <c r="D249" t="s">
        <v>97</v>
      </c>
      <c r="E249" t="s">
        <v>56</v>
      </c>
      <c r="F249">
        <v>2398000000000</v>
      </c>
      <c r="G249">
        <v>521131881851</v>
      </c>
      <c r="H249" t="s">
        <v>68</v>
      </c>
      <c r="I249">
        <v>1.1449</v>
      </c>
      <c r="J249">
        <v>0.56200000000000006</v>
      </c>
      <c r="K249">
        <v>3.0350000000000001</v>
      </c>
      <c r="L249">
        <v>5</v>
      </c>
      <c r="M249">
        <v>0</v>
      </c>
      <c r="N249">
        <v>8.7887000000000007E-2</v>
      </c>
      <c r="O249">
        <v>0.650702</v>
      </c>
      <c r="P249">
        <v>2606452752740</v>
      </c>
      <c r="Q249">
        <v>1</v>
      </c>
      <c r="R249">
        <v>0.13183</v>
      </c>
      <c r="S249">
        <v>149057709943</v>
      </c>
      <c r="T249">
        <v>0</v>
      </c>
    </row>
    <row r="250" spans="1:20">
      <c r="A250" t="s">
        <v>333</v>
      </c>
      <c r="B250" t="s">
        <v>53</v>
      </c>
      <c r="C250" t="s">
        <v>74</v>
      </c>
      <c r="D250" t="s">
        <v>66</v>
      </c>
      <c r="E250" t="s">
        <v>67</v>
      </c>
      <c r="F250">
        <v>2496000000000</v>
      </c>
      <c r="G250">
        <v>1028750383474</v>
      </c>
      <c r="H250" t="s">
        <v>68</v>
      </c>
      <c r="I250">
        <v>0.86240000000000006</v>
      </c>
      <c r="J250">
        <v>1.3620000000000001</v>
      </c>
      <c r="K250">
        <v>6.819</v>
      </c>
      <c r="L250">
        <v>0</v>
      </c>
      <c r="M250">
        <v>1</v>
      </c>
      <c r="N250">
        <v>0.20499999999999999</v>
      </c>
      <c r="O250">
        <v>0.55184699999999998</v>
      </c>
      <c r="P250">
        <v>3267562787605</v>
      </c>
      <c r="Q250">
        <v>1</v>
      </c>
      <c r="R250">
        <v>0.3075</v>
      </c>
      <c r="S250">
        <v>369655062073</v>
      </c>
      <c r="T250">
        <v>0</v>
      </c>
    </row>
    <row r="251" spans="1:20">
      <c r="A251" t="s">
        <v>334</v>
      </c>
      <c r="B251" t="s">
        <v>53</v>
      </c>
      <c r="C251" t="s">
        <v>91</v>
      </c>
      <c r="D251" t="s">
        <v>97</v>
      </c>
      <c r="E251" t="s">
        <v>56</v>
      </c>
      <c r="F251">
        <v>2593000000000</v>
      </c>
      <c r="G251">
        <v>253606162658</v>
      </c>
      <c r="H251" t="s">
        <v>78</v>
      </c>
      <c r="I251">
        <v>0.88119999999999998</v>
      </c>
      <c r="J251">
        <v>2.0179999999999998</v>
      </c>
      <c r="K251">
        <v>5.3460000000000001</v>
      </c>
      <c r="L251">
        <v>0</v>
      </c>
      <c r="M251">
        <v>1</v>
      </c>
      <c r="N251">
        <v>8.4232000000000001E-2</v>
      </c>
      <c r="O251">
        <v>0.40843499999999999</v>
      </c>
      <c r="P251">
        <v>2783204621993</v>
      </c>
      <c r="Q251">
        <v>1</v>
      </c>
      <c r="R251">
        <v>0.12634799999999999</v>
      </c>
      <c r="S251">
        <v>95751172574</v>
      </c>
      <c r="T251">
        <v>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9"/>
  <sheetViews>
    <sheetView workbookViewId="0"/>
  </sheetViews>
  <sheetFormatPr defaultRowHeight="14.25"/>
  <cols>
    <col min="1" max="5" width="25" customWidth="1"/>
  </cols>
  <sheetData>
    <row r="1" spans="1:8" ht="18">
      <c r="A1" s="15" t="s">
        <v>335</v>
      </c>
      <c r="B1" s="16"/>
      <c r="C1" s="16"/>
      <c r="D1" s="16"/>
      <c r="E1" s="16"/>
      <c r="F1" s="16"/>
      <c r="G1" s="16"/>
      <c r="H1" s="16"/>
    </row>
    <row r="3" spans="1:8" ht="30">
      <c r="A3" s="1" t="s">
        <v>336</v>
      </c>
      <c r="B3" s="1" t="s">
        <v>337</v>
      </c>
      <c r="C3" s="1" t="s">
        <v>338</v>
      </c>
      <c r="D3" s="1" t="s">
        <v>339</v>
      </c>
      <c r="E3" s="1" t="s">
        <v>340</v>
      </c>
      <c r="G3" s="1" t="s">
        <v>341</v>
      </c>
      <c r="H3" s="1" t="s">
        <v>342</v>
      </c>
    </row>
    <row r="4" spans="1:8">
      <c r="A4" s="5" t="s">
        <v>343</v>
      </c>
      <c r="B4" s="5" t="s">
        <v>344</v>
      </c>
      <c r="C4" s="5" t="s">
        <v>345</v>
      </c>
      <c r="D4" s="5" t="s">
        <v>346</v>
      </c>
      <c r="E4" s="5" t="s">
        <v>347</v>
      </c>
      <c r="G4" t="s">
        <v>348</v>
      </c>
      <c r="H4" s="12">
        <v>0.78</v>
      </c>
    </row>
    <row r="5" spans="1:8" ht="28.5">
      <c r="A5" s="5" t="s">
        <v>349</v>
      </c>
      <c r="B5" s="5" t="s">
        <v>350</v>
      </c>
      <c r="C5" s="5" t="s">
        <v>351</v>
      </c>
      <c r="D5" s="5" t="s">
        <v>352</v>
      </c>
      <c r="E5" s="5" t="s">
        <v>353</v>
      </c>
      <c r="G5" t="s">
        <v>354</v>
      </c>
      <c r="H5" s="12">
        <f>2*H4-1</f>
        <v>0.56000000000000005</v>
      </c>
    </row>
    <row r="6" spans="1:8">
      <c r="A6" s="5" t="s">
        <v>355</v>
      </c>
      <c r="B6" s="5" t="s">
        <v>356</v>
      </c>
      <c r="C6" s="5" t="s">
        <v>351</v>
      </c>
      <c r="D6" s="5" t="s">
        <v>357</v>
      </c>
      <c r="E6" s="5" t="s">
        <v>358</v>
      </c>
      <c r="G6" t="s">
        <v>359</v>
      </c>
      <c r="H6" s="12">
        <v>0.42</v>
      </c>
    </row>
    <row r="7" spans="1:8">
      <c r="A7" s="5" t="s">
        <v>360</v>
      </c>
      <c r="B7" s="5" t="s">
        <v>361</v>
      </c>
      <c r="C7" s="5" t="s">
        <v>351</v>
      </c>
      <c r="D7" s="5" t="s">
        <v>362</v>
      </c>
      <c r="E7" s="5" t="s">
        <v>363</v>
      </c>
      <c r="G7" t="s">
        <v>364</v>
      </c>
      <c r="H7" s="12">
        <v>0.08</v>
      </c>
    </row>
    <row r="8" spans="1:8">
      <c r="A8" s="5" t="s">
        <v>365</v>
      </c>
      <c r="B8" s="5" t="s">
        <v>366</v>
      </c>
      <c r="C8" s="5" t="s">
        <v>367</v>
      </c>
      <c r="D8" s="5" t="s">
        <v>368</v>
      </c>
      <c r="E8" s="5" t="s">
        <v>369</v>
      </c>
      <c r="G8" t="s">
        <v>370</v>
      </c>
      <c r="H8" t="s">
        <v>371</v>
      </c>
    </row>
    <row r="9" spans="1:8">
      <c r="A9" s="5" t="s">
        <v>372</v>
      </c>
      <c r="B9" s="5" t="s">
        <v>373</v>
      </c>
      <c r="C9" s="5" t="s">
        <v>374</v>
      </c>
      <c r="D9" s="5" t="s">
        <v>375</v>
      </c>
      <c r="E9" s="5" t="s">
        <v>376</v>
      </c>
    </row>
  </sheetData>
  <mergeCells count="1">
    <mergeCell ref="A1:H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251"/>
  <sheetViews>
    <sheetView workbookViewId="0"/>
  </sheetViews>
  <sheetFormatPr defaultRowHeight="14.25"/>
  <cols>
    <col min="1" max="9" width="16" customWidth="1"/>
  </cols>
  <sheetData>
    <row r="1" spans="1:9" ht="15">
      <c r="A1" s="1" t="s">
        <v>32</v>
      </c>
      <c r="B1" s="1" t="s">
        <v>377</v>
      </c>
      <c r="C1" s="11" t="s">
        <v>45</v>
      </c>
      <c r="D1" s="11" t="s">
        <v>49</v>
      </c>
      <c r="E1" s="11" t="s">
        <v>46</v>
      </c>
      <c r="F1" s="10" t="s">
        <v>47</v>
      </c>
      <c r="G1" s="10" t="s">
        <v>378</v>
      </c>
      <c r="H1" s="10" t="s">
        <v>50</v>
      </c>
      <c r="I1" s="1" t="s">
        <v>379</v>
      </c>
    </row>
    <row r="2" spans="1:9">
      <c r="A2" t="str">
        <f>'02_Loan_Portfolio'!A2</f>
        <v>LN00001</v>
      </c>
      <c r="B2">
        <f>'02_Loan_Portfolio'!Q2</f>
        <v>1</v>
      </c>
      <c r="C2">
        <f>'02_Loan_Portfolio'!N2</f>
        <v>5.5E-2</v>
      </c>
      <c r="D2">
        <f>'02_Loan_Portfolio'!R2</f>
        <v>8.2500000000000004E-2</v>
      </c>
      <c r="E2">
        <f>'02_Loan_Portfolio'!O2</f>
        <v>0.63947100000000001</v>
      </c>
      <c r="F2">
        <f>'02_Loan_Portfolio'!P2</f>
        <v>959138150603</v>
      </c>
      <c r="G2">
        <f t="shared" ref="G2:G65" si="0">IF(B2=1,C2,D2)</f>
        <v>5.5E-2</v>
      </c>
      <c r="H2">
        <f t="shared" ref="H2:H65" si="1">G2*E2*F2</f>
        <v>33733756776.733807</v>
      </c>
      <c r="I2" t="str">
        <f t="shared" ref="I2:I65" si="2">IF(B2=1,"12M ECL","Lifetime ECL")</f>
        <v>12M ECL</v>
      </c>
    </row>
    <row r="3" spans="1:9">
      <c r="A3" t="str">
        <f>'02_Loan_Portfolio'!A3</f>
        <v>LN00002</v>
      </c>
      <c r="B3">
        <f>'02_Loan_Portfolio'!Q3</f>
        <v>1</v>
      </c>
      <c r="C3">
        <f>'02_Loan_Portfolio'!N3</f>
        <v>2.7660000000000001E-2</v>
      </c>
      <c r="D3">
        <f>'02_Loan_Portfolio'!R3</f>
        <v>4.1488999999999998E-2</v>
      </c>
      <c r="E3">
        <f>'02_Loan_Portfolio'!O3</f>
        <v>0.48365999999999998</v>
      </c>
      <c r="F3">
        <f>'02_Loan_Portfolio'!P3</f>
        <v>737310634668</v>
      </c>
      <c r="G3">
        <f t="shared" si="0"/>
        <v>2.7660000000000001E-2</v>
      </c>
      <c r="H3">
        <f t="shared" si="1"/>
        <v>9863767918.8470974</v>
      </c>
      <c r="I3" t="str">
        <f t="shared" si="2"/>
        <v>12M ECL</v>
      </c>
    </row>
    <row r="4" spans="1:9">
      <c r="A4" t="str">
        <f>'02_Loan_Portfolio'!A4</f>
        <v>LN00003</v>
      </c>
      <c r="B4">
        <f>'02_Loan_Portfolio'!Q4</f>
        <v>1</v>
      </c>
      <c r="C4">
        <f>'02_Loan_Portfolio'!N4</f>
        <v>0.14673</v>
      </c>
      <c r="D4">
        <f>'02_Loan_Portfolio'!R4</f>
        <v>0.22009500000000001</v>
      </c>
      <c r="E4">
        <f>'02_Loan_Portfolio'!O4</f>
        <v>0.59399900000000005</v>
      </c>
      <c r="F4">
        <f>'02_Loan_Portfolio'!P4</f>
        <v>356195009615</v>
      </c>
      <c r="G4">
        <f t="shared" si="0"/>
        <v>0.14673</v>
      </c>
      <c r="H4">
        <f t="shared" si="1"/>
        <v>31045057029.426758</v>
      </c>
      <c r="I4" t="str">
        <f t="shared" si="2"/>
        <v>12M ECL</v>
      </c>
    </row>
    <row r="5" spans="1:9">
      <c r="A5" t="str">
        <f>'02_Loan_Portfolio'!A5</f>
        <v>LN00004</v>
      </c>
      <c r="B5">
        <f>'02_Loan_Portfolio'!Q5</f>
        <v>1</v>
      </c>
      <c r="C5">
        <f>'02_Loan_Portfolio'!N5</f>
        <v>1.3826E-2</v>
      </c>
      <c r="D5">
        <f>'02_Loan_Portfolio'!R5</f>
        <v>2.0739E-2</v>
      </c>
      <c r="E5">
        <f>'02_Loan_Portfolio'!O5</f>
        <v>0.52692700000000003</v>
      </c>
      <c r="F5">
        <f>'02_Loan_Portfolio'!P5</f>
        <v>712510559486</v>
      </c>
      <c r="G5">
        <f t="shared" si="0"/>
        <v>1.3826E-2</v>
      </c>
      <c r="H5">
        <f t="shared" si="1"/>
        <v>5190847979.1212931</v>
      </c>
      <c r="I5" t="str">
        <f t="shared" si="2"/>
        <v>12M ECL</v>
      </c>
    </row>
    <row r="6" spans="1:9">
      <c r="A6" t="str">
        <f>'02_Loan_Portfolio'!A6</f>
        <v>LN00005</v>
      </c>
      <c r="B6">
        <f>'02_Loan_Portfolio'!Q6</f>
        <v>1</v>
      </c>
      <c r="C6">
        <f>'02_Loan_Portfolio'!N6</f>
        <v>2.5277999999999998E-2</v>
      </c>
      <c r="D6">
        <f>'02_Loan_Portfolio'!R6</f>
        <v>3.7918E-2</v>
      </c>
      <c r="E6">
        <f>'02_Loan_Portfolio'!O6</f>
        <v>0.607209</v>
      </c>
      <c r="F6">
        <f>'02_Loan_Portfolio'!P6</f>
        <v>240523818832</v>
      </c>
      <c r="G6">
        <f t="shared" si="0"/>
        <v>2.5277999999999998E-2</v>
      </c>
      <c r="H6">
        <f t="shared" si="1"/>
        <v>3691807094.9765434</v>
      </c>
      <c r="I6" t="str">
        <f t="shared" si="2"/>
        <v>12M ECL</v>
      </c>
    </row>
    <row r="7" spans="1:9">
      <c r="A7" t="str">
        <f>'02_Loan_Portfolio'!A7</f>
        <v>LN00006</v>
      </c>
      <c r="B7">
        <f>'02_Loan_Portfolio'!Q7</f>
        <v>1</v>
      </c>
      <c r="C7">
        <f>'02_Loan_Portfolio'!N7</f>
        <v>2.9128999999999999E-2</v>
      </c>
      <c r="D7">
        <f>'02_Loan_Portfolio'!R7</f>
        <v>4.3693000000000003E-2</v>
      </c>
      <c r="E7">
        <f>'02_Loan_Portfolio'!O7</f>
        <v>0.34725200000000001</v>
      </c>
      <c r="F7">
        <f>'02_Loan_Portfolio'!P7</f>
        <v>1349782300024</v>
      </c>
      <c r="G7">
        <f t="shared" si="0"/>
        <v>2.9128999999999999E-2</v>
      </c>
      <c r="H7">
        <f t="shared" si="1"/>
        <v>13653187678.009071</v>
      </c>
      <c r="I7" t="str">
        <f t="shared" si="2"/>
        <v>12M ECL</v>
      </c>
    </row>
    <row r="8" spans="1:9">
      <c r="A8" t="str">
        <f>'02_Loan_Portfolio'!A8</f>
        <v>LN00007</v>
      </c>
      <c r="B8">
        <f>'02_Loan_Portfolio'!Q8</f>
        <v>2</v>
      </c>
      <c r="C8">
        <f>'02_Loan_Portfolio'!N8</f>
        <v>0.10083300000000001</v>
      </c>
      <c r="D8">
        <f>'02_Loan_Portfolio'!R8</f>
        <v>0.30249999999999999</v>
      </c>
      <c r="E8">
        <f>'02_Loan_Portfolio'!O8</f>
        <v>0.49529899999999999</v>
      </c>
      <c r="F8">
        <f>'02_Loan_Portfolio'!P8</f>
        <v>1732861770269</v>
      </c>
      <c r="G8">
        <f t="shared" si="0"/>
        <v>0.30249999999999999</v>
      </c>
      <c r="H8">
        <f t="shared" si="1"/>
        <v>259631122340.62079</v>
      </c>
      <c r="I8" t="str">
        <f t="shared" si="2"/>
        <v>Lifetime ECL</v>
      </c>
    </row>
    <row r="9" spans="1:9">
      <c r="A9" t="str">
        <f>'02_Loan_Portfolio'!A9</f>
        <v>LN00008</v>
      </c>
      <c r="B9">
        <f>'02_Loan_Portfolio'!Q9</f>
        <v>1</v>
      </c>
      <c r="C9">
        <f>'02_Loan_Portfolio'!N9</f>
        <v>2.5590000000000002E-2</v>
      </c>
      <c r="D9">
        <f>'02_Loan_Portfolio'!R9</f>
        <v>3.8385000000000002E-2</v>
      </c>
      <c r="E9">
        <f>'02_Loan_Portfolio'!O9</f>
        <v>0.71623099999999995</v>
      </c>
      <c r="F9">
        <f>'02_Loan_Portfolio'!P9</f>
        <v>3088812175919</v>
      </c>
      <c r="G9">
        <f t="shared" si="0"/>
        <v>2.5590000000000002E-2</v>
      </c>
      <c r="H9">
        <f t="shared" si="1"/>
        <v>56612834629.072708</v>
      </c>
      <c r="I9" t="str">
        <f t="shared" si="2"/>
        <v>12M ECL</v>
      </c>
    </row>
    <row r="10" spans="1:9">
      <c r="A10" t="str">
        <f>'02_Loan_Portfolio'!A10</f>
        <v>LN00009</v>
      </c>
      <c r="B10">
        <f>'02_Loan_Portfolio'!Q10</f>
        <v>1</v>
      </c>
      <c r="C10">
        <f>'02_Loan_Portfolio'!N10</f>
        <v>0.12</v>
      </c>
      <c r="D10">
        <f>'02_Loan_Portfolio'!R10</f>
        <v>0.18</v>
      </c>
      <c r="E10">
        <f>'02_Loan_Portfolio'!O10</f>
        <v>0.36348999999999998</v>
      </c>
      <c r="F10">
        <f>'02_Loan_Portfolio'!P10</f>
        <v>4808575189</v>
      </c>
      <c r="G10">
        <f t="shared" si="0"/>
        <v>0.12</v>
      </c>
      <c r="H10">
        <f t="shared" si="1"/>
        <v>209744279.45395321</v>
      </c>
      <c r="I10" t="str">
        <f t="shared" si="2"/>
        <v>12M ECL</v>
      </c>
    </row>
    <row r="11" spans="1:9">
      <c r="A11" t="str">
        <f>'02_Loan_Portfolio'!A11</f>
        <v>LN00010</v>
      </c>
      <c r="B11">
        <f>'02_Loan_Portfolio'!Q11</f>
        <v>1</v>
      </c>
      <c r="C11">
        <f>'02_Loan_Portfolio'!N11</f>
        <v>5.0000000000000001E-3</v>
      </c>
      <c r="D11">
        <f>'02_Loan_Portfolio'!R11</f>
        <v>7.4999999999999997E-3</v>
      </c>
      <c r="E11">
        <f>'02_Loan_Portfolio'!O11</f>
        <v>0.49896800000000002</v>
      </c>
      <c r="F11">
        <f>'02_Loan_Portfolio'!P11</f>
        <v>3137742698252</v>
      </c>
      <c r="G11">
        <f t="shared" si="0"/>
        <v>5.0000000000000001E-3</v>
      </c>
      <c r="H11">
        <f t="shared" si="1"/>
        <v>7828165993.3070211</v>
      </c>
      <c r="I11" t="str">
        <f t="shared" si="2"/>
        <v>12M ECL</v>
      </c>
    </row>
    <row r="12" spans="1:9">
      <c r="A12" t="str">
        <f>'02_Loan_Portfolio'!A12</f>
        <v>LN00011</v>
      </c>
      <c r="B12">
        <f>'02_Loan_Portfolio'!Q12</f>
        <v>1</v>
      </c>
      <c r="C12">
        <f>'02_Loan_Portfolio'!N12</f>
        <v>2.7082999999999999E-2</v>
      </c>
      <c r="D12">
        <f>'02_Loan_Portfolio'!R12</f>
        <v>4.0625000000000001E-2</v>
      </c>
      <c r="E12">
        <f>'02_Loan_Portfolio'!O12</f>
        <v>0.40756700000000001</v>
      </c>
      <c r="F12">
        <f>'02_Loan_Portfolio'!P12</f>
        <v>1891316177979</v>
      </c>
      <c r="G12">
        <f t="shared" si="0"/>
        <v>2.7082999999999999E-2</v>
      </c>
      <c r="H12">
        <f t="shared" si="1"/>
        <v>20876607198.218872</v>
      </c>
      <c r="I12" t="str">
        <f t="shared" si="2"/>
        <v>12M ECL</v>
      </c>
    </row>
    <row r="13" spans="1:9">
      <c r="A13" t="str">
        <f>'02_Loan_Portfolio'!A13</f>
        <v>LN00012</v>
      </c>
      <c r="B13">
        <f>'02_Loan_Portfolio'!Q13</f>
        <v>1</v>
      </c>
      <c r="C13">
        <f>'02_Loan_Portfolio'!N13</f>
        <v>6.8750000000000006E-2</v>
      </c>
      <c r="D13">
        <f>'02_Loan_Portfolio'!R13</f>
        <v>0.10312499999999999</v>
      </c>
      <c r="E13">
        <f>'02_Loan_Portfolio'!O13</f>
        <v>0.57389500000000004</v>
      </c>
      <c r="F13">
        <f>'02_Loan_Portfolio'!P13</f>
        <v>2262633653422</v>
      </c>
      <c r="G13">
        <f t="shared" si="0"/>
        <v>6.8750000000000006E-2</v>
      </c>
      <c r="H13">
        <f t="shared" si="1"/>
        <v>89272847161.480057</v>
      </c>
      <c r="I13" t="str">
        <f t="shared" si="2"/>
        <v>12M ECL</v>
      </c>
    </row>
    <row r="14" spans="1:9">
      <c r="A14" t="str">
        <f>'02_Loan_Portfolio'!A14</f>
        <v>LN00013</v>
      </c>
      <c r="B14">
        <f>'02_Loan_Portfolio'!Q14</f>
        <v>1</v>
      </c>
      <c r="C14">
        <f>'02_Loan_Portfolio'!N14</f>
        <v>2.5000000000000001E-2</v>
      </c>
      <c r="D14">
        <f>'02_Loan_Portfolio'!R14</f>
        <v>3.7499999999999999E-2</v>
      </c>
      <c r="E14">
        <f>'02_Loan_Portfolio'!O14</f>
        <v>0.46247300000000002</v>
      </c>
      <c r="F14">
        <f>'02_Loan_Portfolio'!P14</f>
        <v>3368693787319</v>
      </c>
      <c r="G14">
        <f t="shared" si="0"/>
        <v>2.5000000000000001E-2</v>
      </c>
      <c r="H14">
        <f t="shared" si="1"/>
        <v>38948248047.569504</v>
      </c>
      <c r="I14" t="str">
        <f t="shared" si="2"/>
        <v>12M ECL</v>
      </c>
    </row>
    <row r="15" spans="1:9">
      <c r="A15" t="str">
        <f>'02_Loan_Portfolio'!A15</f>
        <v>LN00014</v>
      </c>
      <c r="B15">
        <f>'02_Loan_Portfolio'!Q15</f>
        <v>2</v>
      </c>
      <c r="C15">
        <f>'02_Loan_Portfolio'!N15</f>
        <v>0.19270699999999999</v>
      </c>
      <c r="D15">
        <f>'02_Loan_Portfolio'!R15</f>
        <v>0.578121</v>
      </c>
      <c r="E15">
        <f>'02_Loan_Portfolio'!O15</f>
        <v>0.42643900000000001</v>
      </c>
      <c r="F15">
        <f>'02_Loan_Portfolio'!P15</f>
        <v>406669677423</v>
      </c>
      <c r="G15">
        <f t="shared" si="0"/>
        <v>0.578121</v>
      </c>
      <c r="H15">
        <f t="shared" si="1"/>
        <v>100257634306.87814</v>
      </c>
      <c r="I15" t="str">
        <f t="shared" si="2"/>
        <v>Lifetime ECL</v>
      </c>
    </row>
    <row r="16" spans="1:9">
      <c r="A16" t="str">
        <f>'02_Loan_Portfolio'!A16</f>
        <v>LN00015</v>
      </c>
      <c r="B16">
        <f>'02_Loan_Portfolio'!Q16</f>
        <v>1</v>
      </c>
      <c r="C16">
        <f>'02_Loan_Portfolio'!N16</f>
        <v>2.7082999999999999E-2</v>
      </c>
      <c r="D16">
        <f>'02_Loan_Portfolio'!R16</f>
        <v>4.0625000000000001E-2</v>
      </c>
      <c r="E16">
        <f>'02_Loan_Portfolio'!O16</f>
        <v>0.49388500000000002</v>
      </c>
      <c r="F16">
        <f>'02_Loan_Portfolio'!P16</f>
        <v>1677426217304</v>
      </c>
      <c r="G16">
        <f t="shared" si="0"/>
        <v>2.7082999999999999E-2</v>
      </c>
      <c r="H16">
        <f t="shared" si="1"/>
        <v>22437064296.724678</v>
      </c>
      <c r="I16" t="str">
        <f t="shared" si="2"/>
        <v>12M ECL</v>
      </c>
    </row>
    <row r="17" spans="1:9">
      <c r="A17" t="str">
        <f>'02_Loan_Portfolio'!A17</f>
        <v>LN00016</v>
      </c>
      <c r="B17">
        <f>'02_Loan_Portfolio'!Q17</f>
        <v>1</v>
      </c>
      <c r="C17">
        <f>'02_Loan_Portfolio'!N17</f>
        <v>7.6953999999999995E-2</v>
      </c>
      <c r="D17">
        <f>'02_Loan_Portfolio'!R17</f>
        <v>0.11543100000000001</v>
      </c>
      <c r="E17">
        <f>'02_Loan_Portfolio'!O17</f>
        <v>0.47493600000000002</v>
      </c>
      <c r="F17">
        <f>'02_Loan_Portfolio'!P17</f>
        <v>247812107192</v>
      </c>
      <c r="G17">
        <f t="shared" si="0"/>
        <v>7.6953999999999995E-2</v>
      </c>
      <c r="H17">
        <f t="shared" si="1"/>
        <v>9057092637.4998569</v>
      </c>
      <c r="I17" t="str">
        <f t="shared" si="2"/>
        <v>12M ECL</v>
      </c>
    </row>
    <row r="18" spans="1:9">
      <c r="A18" t="str">
        <f>'02_Loan_Portfolio'!A18</f>
        <v>LN00017</v>
      </c>
      <c r="B18">
        <f>'02_Loan_Portfolio'!Q18</f>
        <v>1</v>
      </c>
      <c r="C18">
        <f>'02_Loan_Portfolio'!N18</f>
        <v>1.2E-2</v>
      </c>
      <c r="D18">
        <f>'02_Loan_Portfolio'!R18</f>
        <v>1.7999999999999999E-2</v>
      </c>
      <c r="E18">
        <f>'02_Loan_Portfolio'!O18</f>
        <v>0.31651200000000002</v>
      </c>
      <c r="F18">
        <f>'02_Loan_Portfolio'!P18</f>
        <v>182284142184</v>
      </c>
      <c r="G18">
        <f t="shared" si="0"/>
        <v>1.2E-2</v>
      </c>
      <c r="H18">
        <f t="shared" si="1"/>
        <v>692341420.9313066</v>
      </c>
      <c r="I18" t="str">
        <f t="shared" si="2"/>
        <v>12M ECL</v>
      </c>
    </row>
    <row r="19" spans="1:9">
      <c r="A19" t="str">
        <f>'02_Loan_Portfolio'!A19</f>
        <v>LN00018</v>
      </c>
      <c r="B19">
        <f>'02_Loan_Portfolio'!Q19</f>
        <v>2</v>
      </c>
      <c r="C19">
        <f>'02_Loan_Portfolio'!N19</f>
        <v>4.7724999999999997E-2</v>
      </c>
      <c r="D19">
        <f>'02_Loan_Portfolio'!R19</f>
        <v>0.143176</v>
      </c>
      <c r="E19">
        <f>'02_Loan_Portfolio'!O19</f>
        <v>0.50404099999999996</v>
      </c>
      <c r="F19">
        <f>'02_Loan_Portfolio'!P19</f>
        <v>2721818308296</v>
      </c>
      <c r="G19">
        <f t="shared" si="0"/>
        <v>0.143176</v>
      </c>
      <c r="H19">
        <f t="shared" si="1"/>
        <v>196424302948.11084</v>
      </c>
      <c r="I19" t="str">
        <f t="shared" si="2"/>
        <v>Lifetime ECL</v>
      </c>
    </row>
    <row r="20" spans="1:9">
      <c r="A20" t="str">
        <f>'02_Loan_Portfolio'!A20</f>
        <v>LN00019</v>
      </c>
      <c r="B20">
        <f>'02_Loan_Portfolio'!Q20</f>
        <v>1</v>
      </c>
      <c r="C20">
        <f>'02_Loan_Portfolio'!N20</f>
        <v>0.12</v>
      </c>
      <c r="D20">
        <f>'02_Loan_Portfolio'!R20</f>
        <v>0.18</v>
      </c>
      <c r="E20">
        <f>'02_Loan_Portfolio'!O20</f>
        <v>0.77166500000000005</v>
      </c>
      <c r="F20">
        <f>'02_Loan_Portfolio'!P20</f>
        <v>2171052889334</v>
      </c>
      <c r="G20">
        <f t="shared" si="0"/>
        <v>0.12</v>
      </c>
      <c r="H20">
        <f t="shared" si="1"/>
        <v>201039063341.75052</v>
      </c>
      <c r="I20" t="str">
        <f t="shared" si="2"/>
        <v>12M ECL</v>
      </c>
    </row>
    <row r="21" spans="1:9">
      <c r="A21" t="str">
        <f>'02_Loan_Portfolio'!A21</f>
        <v>LN00020</v>
      </c>
      <c r="B21">
        <f>'02_Loan_Portfolio'!Q21</f>
        <v>1</v>
      </c>
      <c r="C21">
        <f>'02_Loan_Portfolio'!N21</f>
        <v>5.5E-2</v>
      </c>
      <c r="D21">
        <f>'02_Loan_Portfolio'!R21</f>
        <v>8.2500000000000004E-2</v>
      </c>
      <c r="E21">
        <f>'02_Loan_Portfolio'!O21</f>
        <v>0.57340400000000002</v>
      </c>
      <c r="F21">
        <f>'02_Loan_Portfolio'!P21</f>
        <v>2254202839577</v>
      </c>
      <c r="G21">
        <f t="shared" si="0"/>
        <v>5.5E-2</v>
      </c>
      <c r="H21">
        <f t="shared" si="1"/>
        <v>71091290876.364563</v>
      </c>
      <c r="I21" t="str">
        <f t="shared" si="2"/>
        <v>12M ECL</v>
      </c>
    </row>
    <row r="22" spans="1:9">
      <c r="A22" t="str">
        <f>'02_Loan_Portfolio'!A22</f>
        <v>LN00021</v>
      </c>
      <c r="B22">
        <f>'02_Loan_Portfolio'!Q22</f>
        <v>1</v>
      </c>
      <c r="C22">
        <f>'02_Loan_Portfolio'!N22</f>
        <v>5.7803E-2</v>
      </c>
      <c r="D22">
        <f>'02_Loan_Portfolio'!R22</f>
        <v>8.6705000000000004E-2</v>
      </c>
      <c r="E22">
        <f>'02_Loan_Portfolio'!O22</f>
        <v>0.49845299999999998</v>
      </c>
      <c r="F22">
        <f>'02_Loan_Portfolio'!P22</f>
        <v>42548054822</v>
      </c>
      <c r="G22">
        <f t="shared" si="0"/>
        <v>5.7803E-2</v>
      </c>
      <c r="H22">
        <f t="shared" si="1"/>
        <v>1225897906.5737138</v>
      </c>
      <c r="I22" t="str">
        <f t="shared" si="2"/>
        <v>12M ECL</v>
      </c>
    </row>
    <row r="23" spans="1:9">
      <c r="A23" t="str">
        <f>'02_Loan_Portfolio'!A23</f>
        <v>LN00022</v>
      </c>
      <c r="B23">
        <f>'02_Loan_Portfolio'!Q23</f>
        <v>2</v>
      </c>
      <c r="C23">
        <f>'02_Loan_Portfolio'!N23</f>
        <v>3.0202E-2</v>
      </c>
      <c r="D23">
        <f>'02_Loan_Portfolio'!R23</f>
        <v>9.0605000000000005E-2</v>
      </c>
      <c r="E23">
        <f>'02_Loan_Portfolio'!O23</f>
        <v>0.61251100000000003</v>
      </c>
      <c r="F23">
        <f>'02_Loan_Portfolio'!P23</f>
        <v>2660236045169</v>
      </c>
      <c r="G23">
        <f t="shared" si="0"/>
        <v>9.0605000000000005E-2</v>
      </c>
      <c r="H23">
        <f t="shared" si="1"/>
        <v>147633947046.98468</v>
      </c>
      <c r="I23" t="str">
        <f t="shared" si="2"/>
        <v>Lifetime ECL</v>
      </c>
    </row>
    <row r="24" spans="1:9">
      <c r="A24" t="str">
        <f>'02_Loan_Portfolio'!A24</f>
        <v>LN00023</v>
      </c>
      <c r="B24">
        <f>'02_Loan_Portfolio'!Q24</f>
        <v>1</v>
      </c>
      <c r="C24">
        <f>'02_Loan_Portfolio'!N24</f>
        <v>1.5512E-2</v>
      </c>
      <c r="D24">
        <f>'02_Loan_Portfolio'!R24</f>
        <v>2.3269000000000001E-2</v>
      </c>
      <c r="E24">
        <f>'02_Loan_Portfolio'!O24</f>
        <v>0.56804299999999996</v>
      </c>
      <c r="F24">
        <f>'02_Loan_Portfolio'!P24</f>
        <v>3545501318287</v>
      </c>
      <c r="G24">
        <f t="shared" si="0"/>
        <v>1.5512E-2</v>
      </c>
      <c r="H24">
        <f t="shared" si="1"/>
        <v>31241124649.291512</v>
      </c>
      <c r="I24" t="str">
        <f t="shared" si="2"/>
        <v>12M ECL</v>
      </c>
    </row>
    <row r="25" spans="1:9">
      <c r="A25" t="str">
        <f>'02_Loan_Portfolio'!A25</f>
        <v>LN00024</v>
      </c>
      <c r="B25">
        <f>'02_Loan_Portfolio'!Q25</f>
        <v>1</v>
      </c>
      <c r="C25">
        <f>'02_Loan_Portfolio'!N25</f>
        <v>0.13040399999999999</v>
      </c>
      <c r="D25">
        <f>'02_Loan_Portfolio'!R25</f>
        <v>0.195606</v>
      </c>
      <c r="E25">
        <f>'02_Loan_Portfolio'!O25</f>
        <v>0.64786999999999995</v>
      </c>
      <c r="F25">
        <f>'02_Loan_Portfolio'!P25</f>
        <v>849877033780</v>
      </c>
      <c r="G25">
        <f t="shared" si="0"/>
        <v>0.13040399999999999</v>
      </c>
      <c r="H25">
        <f t="shared" si="1"/>
        <v>71801724776.64183</v>
      </c>
      <c r="I25" t="str">
        <f t="shared" si="2"/>
        <v>12M ECL</v>
      </c>
    </row>
    <row r="26" spans="1:9">
      <c r="A26" t="str">
        <f>'02_Loan_Portfolio'!A26</f>
        <v>LN00025</v>
      </c>
      <c r="B26">
        <f>'02_Loan_Portfolio'!Q26</f>
        <v>1</v>
      </c>
      <c r="C26">
        <f>'02_Loan_Portfolio'!N26</f>
        <v>1.2E-2</v>
      </c>
      <c r="D26">
        <f>'02_Loan_Portfolio'!R26</f>
        <v>1.7999999999999999E-2</v>
      </c>
      <c r="E26">
        <f>'02_Loan_Portfolio'!O26</f>
        <v>0.44387700000000002</v>
      </c>
      <c r="F26">
        <f>'02_Loan_Portfolio'!P26</f>
        <v>161082968442</v>
      </c>
      <c r="G26">
        <f t="shared" si="0"/>
        <v>1.2E-2</v>
      </c>
      <c r="H26">
        <f t="shared" si="1"/>
        <v>858012297.39755559</v>
      </c>
      <c r="I26" t="str">
        <f t="shared" si="2"/>
        <v>12M ECL</v>
      </c>
    </row>
    <row r="27" spans="1:9">
      <c r="A27" t="str">
        <f>'02_Loan_Portfolio'!A27</f>
        <v>LN00026</v>
      </c>
      <c r="B27">
        <f>'02_Loan_Portfolio'!Q27</f>
        <v>1</v>
      </c>
      <c r="C27">
        <f>'02_Loan_Portfolio'!N27</f>
        <v>0.21279799999999999</v>
      </c>
      <c r="D27">
        <f>'02_Loan_Portfolio'!R27</f>
        <v>0.31919700000000001</v>
      </c>
      <c r="E27">
        <f>'02_Loan_Portfolio'!O27</f>
        <v>0.74254900000000001</v>
      </c>
      <c r="F27">
        <f>'02_Loan_Portfolio'!P27</f>
        <v>2845461456258</v>
      </c>
      <c r="G27">
        <f t="shared" si="0"/>
        <v>0.21279799999999999</v>
      </c>
      <c r="H27">
        <f t="shared" si="1"/>
        <v>449619736341.16791</v>
      </c>
      <c r="I27" t="str">
        <f t="shared" si="2"/>
        <v>12M ECL</v>
      </c>
    </row>
    <row r="28" spans="1:9">
      <c r="A28" t="str">
        <f>'02_Loan_Portfolio'!A28</f>
        <v>LN00027</v>
      </c>
      <c r="B28">
        <f>'02_Loan_Portfolio'!Q28</f>
        <v>1</v>
      </c>
      <c r="C28">
        <f>'02_Loan_Portfolio'!N28</f>
        <v>5.5E-2</v>
      </c>
      <c r="D28">
        <f>'02_Loan_Portfolio'!R28</f>
        <v>8.2500000000000004E-2</v>
      </c>
      <c r="E28">
        <f>'02_Loan_Portfolio'!O28</f>
        <v>0.401611</v>
      </c>
      <c r="F28">
        <f>'02_Loan_Portfolio'!P28</f>
        <v>2324055618303</v>
      </c>
      <c r="G28">
        <f t="shared" si="0"/>
        <v>5.5E-2</v>
      </c>
      <c r="H28">
        <f t="shared" si="1"/>
        <v>51335146550.725739</v>
      </c>
      <c r="I28" t="str">
        <f t="shared" si="2"/>
        <v>12M ECL</v>
      </c>
    </row>
    <row r="29" spans="1:9">
      <c r="A29" t="str">
        <f>'02_Loan_Portfolio'!A29</f>
        <v>LN00028</v>
      </c>
      <c r="B29">
        <f>'02_Loan_Portfolio'!Q29</f>
        <v>1</v>
      </c>
      <c r="C29">
        <f>'02_Loan_Portfolio'!N29</f>
        <v>8.4582000000000004E-2</v>
      </c>
      <c r="D29">
        <f>'02_Loan_Portfolio'!R29</f>
        <v>0.12687399999999999</v>
      </c>
      <c r="E29">
        <f>'02_Loan_Portfolio'!O29</f>
        <v>0.50818399999999997</v>
      </c>
      <c r="F29">
        <f>'02_Loan_Portfolio'!P29</f>
        <v>2875513052280</v>
      </c>
      <c r="G29">
        <f t="shared" si="0"/>
        <v>8.4582000000000004E-2</v>
      </c>
      <c r="H29">
        <f t="shared" si="1"/>
        <v>123598807516.55484</v>
      </c>
      <c r="I29" t="str">
        <f t="shared" si="2"/>
        <v>12M ECL</v>
      </c>
    </row>
    <row r="30" spans="1:9">
      <c r="A30" t="str">
        <f>'02_Loan_Portfolio'!A30</f>
        <v>LN00029</v>
      </c>
      <c r="B30">
        <f>'02_Loan_Portfolio'!Q30</f>
        <v>1</v>
      </c>
      <c r="C30">
        <f>'02_Loan_Portfolio'!N30</f>
        <v>0.15</v>
      </c>
      <c r="D30">
        <f>'02_Loan_Portfolio'!R30</f>
        <v>0.22500000000000001</v>
      </c>
      <c r="E30">
        <f>'02_Loan_Portfolio'!O30</f>
        <v>0.74</v>
      </c>
      <c r="F30">
        <f>'02_Loan_Portfolio'!P30</f>
        <v>838669873687</v>
      </c>
      <c r="G30">
        <f t="shared" si="0"/>
        <v>0.15</v>
      </c>
      <c r="H30">
        <f t="shared" si="1"/>
        <v>93092355979.257004</v>
      </c>
      <c r="I30" t="str">
        <f t="shared" si="2"/>
        <v>12M ECL</v>
      </c>
    </row>
    <row r="31" spans="1:9">
      <c r="A31" t="str">
        <f>'02_Loan_Portfolio'!A31</f>
        <v>LN00030</v>
      </c>
      <c r="B31">
        <f>'02_Loan_Portfolio'!Q31</f>
        <v>2</v>
      </c>
      <c r="C31">
        <f>'02_Loan_Portfolio'!N31</f>
        <v>2.5000000000000001E-2</v>
      </c>
      <c r="D31">
        <f>'02_Loan_Portfolio'!R31</f>
        <v>7.4999999999999997E-2</v>
      </c>
      <c r="E31">
        <f>'02_Loan_Portfolio'!O31</f>
        <v>0.51784399999999997</v>
      </c>
      <c r="F31">
        <f>'02_Loan_Portfolio'!P31</f>
        <v>1871736034243</v>
      </c>
      <c r="G31">
        <f t="shared" si="0"/>
        <v>7.4999999999999997E-2</v>
      </c>
      <c r="H31">
        <f t="shared" si="1"/>
        <v>72695045618.739899</v>
      </c>
      <c r="I31" t="str">
        <f t="shared" si="2"/>
        <v>Lifetime ECL</v>
      </c>
    </row>
    <row r="32" spans="1:9">
      <c r="A32" t="str">
        <f>'02_Loan_Portfolio'!A32</f>
        <v>LN00031</v>
      </c>
      <c r="B32">
        <f>'02_Loan_Portfolio'!Q32</f>
        <v>1</v>
      </c>
      <c r="C32">
        <f>'02_Loan_Portfolio'!N32</f>
        <v>7.8439999999999996E-2</v>
      </c>
      <c r="D32">
        <f>'02_Loan_Portfolio'!R32</f>
        <v>0.11766</v>
      </c>
      <c r="E32">
        <f>'02_Loan_Portfolio'!O32</f>
        <v>0.60499000000000003</v>
      </c>
      <c r="F32">
        <f>'02_Loan_Portfolio'!P32</f>
        <v>2879366641183</v>
      </c>
      <c r="G32">
        <f t="shared" si="0"/>
        <v>7.8439999999999996E-2</v>
      </c>
      <c r="H32">
        <f t="shared" si="1"/>
        <v>136641540622.11534</v>
      </c>
      <c r="I32" t="str">
        <f t="shared" si="2"/>
        <v>12M ECL</v>
      </c>
    </row>
    <row r="33" spans="1:9">
      <c r="A33" t="str">
        <f>'02_Loan_Portfolio'!A33</f>
        <v>LN00032</v>
      </c>
      <c r="B33">
        <f>'02_Loan_Portfolio'!Q33</f>
        <v>1</v>
      </c>
      <c r="C33">
        <f>'02_Loan_Portfolio'!N33</f>
        <v>0.13853099999999999</v>
      </c>
      <c r="D33">
        <f>'02_Loan_Portfolio'!R33</f>
        <v>0.20779700000000001</v>
      </c>
      <c r="E33">
        <f>'02_Loan_Portfolio'!O33</f>
        <v>0.66462299999999996</v>
      </c>
      <c r="F33">
        <f>'02_Loan_Portfolio'!P33</f>
        <v>1828146447663</v>
      </c>
      <c r="G33">
        <f t="shared" si="0"/>
        <v>0.13853099999999999</v>
      </c>
      <c r="H33">
        <f t="shared" si="1"/>
        <v>168319068316.66098</v>
      </c>
      <c r="I33" t="str">
        <f t="shared" si="2"/>
        <v>12M ECL</v>
      </c>
    </row>
    <row r="34" spans="1:9">
      <c r="A34" t="str">
        <f>'02_Loan_Portfolio'!A34</f>
        <v>LN00033</v>
      </c>
      <c r="B34">
        <f>'02_Loan_Portfolio'!Q34</f>
        <v>1</v>
      </c>
      <c r="C34">
        <f>'02_Loan_Portfolio'!N34</f>
        <v>2.5000000000000001E-2</v>
      </c>
      <c r="D34">
        <f>'02_Loan_Portfolio'!R34</f>
        <v>3.7499999999999999E-2</v>
      </c>
      <c r="E34">
        <f>'02_Loan_Portfolio'!O34</f>
        <v>0.41438700000000001</v>
      </c>
      <c r="F34">
        <f>'02_Loan_Portfolio'!P34</f>
        <v>266568158858</v>
      </c>
      <c r="G34">
        <f t="shared" si="0"/>
        <v>2.5000000000000001E-2</v>
      </c>
      <c r="H34">
        <f t="shared" si="1"/>
        <v>2761559491.1172514</v>
      </c>
      <c r="I34" t="str">
        <f t="shared" si="2"/>
        <v>12M ECL</v>
      </c>
    </row>
    <row r="35" spans="1:9">
      <c r="A35" t="str">
        <f>'02_Loan_Portfolio'!A35</f>
        <v>LN00034</v>
      </c>
      <c r="B35">
        <f>'02_Loan_Portfolio'!Q35</f>
        <v>1</v>
      </c>
      <c r="C35">
        <f>'02_Loan_Portfolio'!N35</f>
        <v>0.12</v>
      </c>
      <c r="D35">
        <f>'02_Loan_Portfolio'!R35</f>
        <v>0.18</v>
      </c>
      <c r="E35">
        <f>'02_Loan_Portfolio'!O35</f>
        <v>0.65408699999999997</v>
      </c>
      <c r="F35">
        <f>'02_Loan_Portfolio'!P35</f>
        <v>2560218893981</v>
      </c>
      <c r="G35">
        <f t="shared" si="0"/>
        <v>0.12</v>
      </c>
      <c r="H35">
        <f t="shared" si="1"/>
        <v>200952707484.88202</v>
      </c>
      <c r="I35" t="str">
        <f t="shared" si="2"/>
        <v>12M ECL</v>
      </c>
    </row>
    <row r="36" spans="1:9">
      <c r="A36" t="str">
        <f>'02_Loan_Portfolio'!A36</f>
        <v>LN00035</v>
      </c>
      <c r="B36">
        <f>'02_Loan_Portfolio'!Q36</f>
        <v>1</v>
      </c>
      <c r="C36">
        <f>'02_Loan_Portfolio'!N36</f>
        <v>2.9440000000000001E-2</v>
      </c>
      <c r="D36">
        <f>'02_Loan_Portfolio'!R36</f>
        <v>4.4159999999999998E-2</v>
      </c>
      <c r="E36">
        <f>'02_Loan_Portfolio'!O36</f>
        <v>0.31099300000000002</v>
      </c>
      <c r="F36">
        <f>'02_Loan_Portfolio'!P36</f>
        <v>146281911005</v>
      </c>
      <c r="G36">
        <f t="shared" si="0"/>
        <v>2.9440000000000001E-2</v>
      </c>
      <c r="H36">
        <f t="shared" si="1"/>
        <v>1339303626.2797995</v>
      </c>
      <c r="I36" t="str">
        <f t="shared" si="2"/>
        <v>12M ECL</v>
      </c>
    </row>
    <row r="37" spans="1:9">
      <c r="A37" t="str">
        <f>'02_Loan_Portfolio'!A37</f>
        <v>LN00036</v>
      </c>
      <c r="B37">
        <f>'02_Loan_Portfolio'!Q37</f>
        <v>1</v>
      </c>
      <c r="C37">
        <f>'02_Loan_Portfolio'!N37</f>
        <v>0.15776799999999999</v>
      </c>
      <c r="D37">
        <f>'02_Loan_Portfolio'!R37</f>
        <v>0.236653</v>
      </c>
      <c r="E37">
        <f>'02_Loan_Portfolio'!O37</f>
        <v>0.51458800000000005</v>
      </c>
      <c r="F37">
        <f>'02_Loan_Portfolio'!P37</f>
        <v>1326644818965</v>
      </c>
      <c r="G37">
        <f t="shared" si="0"/>
        <v>0.15776799999999999</v>
      </c>
      <c r="H37">
        <f t="shared" si="1"/>
        <v>107704348931.09514</v>
      </c>
      <c r="I37" t="str">
        <f t="shared" si="2"/>
        <v>12M ECL</v>
      </c>
    </row>
    <row r="38" spans="1:9">
      <c r="A38" t="str">
        <f>'02_Loan_Portfolio'!A38</f>
        <v>LN00037</v>
      </c>
      <c r="B38">
        <f>'02_Loan_Portfolio'!Q38</f>
        <v>1</v>
      </c>
      <c r="C38">
        <f>'02_Loan_Portfolio'!N38</f>
        <v>5.0000000000000001E-3</v>
      </c>
      <c r="D38">
        <f>'02_Loan_Portfolio'!R38</f>
        <v>7.4999999999999997E-3</v>
      </c>
      <c r="E38">
        <f>'02_Loan_Portfolio'!O38</f>
        <v>0.55058300000000004</v>
      </c>
      <c r="F38">
        <f>'02_Loan_Portfolio'!P38</f>
        <v>2615833781426</v>
      </c>
      <c r="G38">
        <f t="shared" si="0"/>
        <v>5.0000000000000001E-3</v>
      </c>
      <c r="H38">
        <f t="shared" si="1"/>
        <v>7201168054.3943577</v>
      </c>
      <c r="I38" t="str">
        <f t="shared" si="2"/>
        <v>12M ECL</v>
      </c>
    </row>
    <row r="39" spans="1:9">
      <c r="A39" t="str">
        <f>'02_Loan_Portfolio'!A39</f>
        <v>LN00038</v>
      </c>
      <c r="B39">
        <f>'02_Loan_Portfolio'!Q39</f>
        <v>1</v>
      </c>
      <c r="C39">
        <f>'02_Loan_Portfolio'!N39</f>
        <v>0.15</v>
      </c>
      <c r="D39">
        <f>'02_Loan_Portfolio'!R39</f>
        <v>0.22500000000000001</v>
      </c>
      <c r="E39">
        <f>'02_Loan_Portfolio'!O39</f>
        <v>0.364008</v>
      </c>
      <c r="F39">
        <f>'02_Loan_Portfolio'!P39</f>
        <v>1411559922814</v>
      </c>
      <c r="G39">
        <f t="shared" si="0"/>
        <v>0.15</v>
      </c>
      <c r="H39">
        <f t="shared" si="1"/>
        <v>77072865657.551773</v>
      </c>
      <c r="I39" t="str">
        <f t="shared" si="2"/>
        <v>12M ECL</v>
      </c>
    </row>
    <row r="40" spans="1:9">
      <c r="A40" t="str">
        <f>'02_Loan_Portfolio'!A40</f>
        <v>LN00039</v>
      </c>
      <c r="B40">
        <f>'02_Loan_Portfolio'!Q40</f>
        <v>2</v>
      </c>
      <c r="C40">
        <f>'02_Loan_Portfolio'!N40</f>
        <v>8.2500000000000004E-2</v>
      </c>
      <c r="D40">
        <f>'02_Loan_Portfolio'!R40</f>
        <v>0.2475</v>
      </c>
      <c r="E40">
        <f>'02_Loan_Portfolio'!O40</f>
        <v>0.33684999999999998</v>
      </c>
      <c r="F40">
        <f>'02_Loan_Portfolio'!P40</f>
        <v>189920816034</v>
      </c>
      <c r="G40">
        <f t="shared" si="0"/>
        <v>0.2475</v>
      </c>
      <c r="H40">
        <f t="shared" si="1"/>
        <v>15833769653.060593</v>
      </c>
      <c r="I40" t="str">
        <f t="shared" si="2"/>
        <v>Lifetime ECL</v>
      </c>
    </row>
    <row r="41" spans="1:9">
      <c r="A41" t="str">
        <f>'02_Loan_Portfolio'!A41</f>
        <v>LN00040</v>
      </c>
      <c r="B41">
        <f>'02_Loan_Portfolio'!Q41</f>
        <v>1</v>
      </c>
      <c r="C41">
        <f>'02_Loan_Portfolio'!N41</f>
        <v>1.2E-2</v>
      </c>
      <c r="D41">
        <f>'02_Loan_Portfolio'!R41</f>
        <v>1.7999999999999999E-2</v>
      </c>
      <c r="E41">
        <f>'02_Loan_Portfolio'!O41</f>
        <v>0.64202199999999998</v>
      </c>
      <c r="F41">
        <f>'02_Loan_Portfolio'!P41</f>
        <v>1338320424798</v>
      </c>
      <c r="G41">
        <f t="shared" si="0"/>
        <v>1.2E-2</v>
      </c>
      <c r="H41">
        <f t="shared" si="1"/>
        <v>10310773869.235939</v>
      </c>
      <c r="I41" t="str">
        <f t="shared" si="2"/>
        <v>12M ECL</v>
      </c>
    </row>
    <row r="42" spans="1:9">
      <c r="A42" t="str">
        <f>'02_Loan_Portfolio'!A42</f>
        <v>LN00041</v>
      </c>
      <c r="B42">
        <f>'02_Loan_Portfolio'!Q42</f>
        <v>1</v>
      </c>
      <c r="C42">
        <f>'02_Loan_Portfolio'!N42</f>
        <v>0.12</v>
      </c>
      <c r="D42">
        <f>'02_Loan_Portfolio'!R42</f>
        <v>0.18</v>
      </c>
      <c r="E42">
        <f>'02_Loan_Portfolio'!O42</f>
        <v>0.35527399999999998</v>
      </c>
      <c r="F42">
        <f>'02_Loan_Portfolio'!P42</f>
        <v>3065009535546</v>
      </c>
      <c r="G42">
        <f t="shared" si="0"/>
        <v>0.12</v>
      </c>
      <c r="H42">
        <f t="shared" si="1"/>
        <v>130670183727.78835</v>
      </c>
      <c r="I42" t="str">
        <f t="shared" si="2"/>
        <v>12M ECL</v>
      </c>
    </row>
    <row r="43" spans="1:9">
      <c r="A43" t="str">
        <f>'02_Loan_Portfolio'!A43</f>
        <v>LN00042</v>
      </c>
      <c r="B43">
        <f>'02_Loan_Portfolio'!Q43</f>
        <v>1</v>
      </c>
      <c r="C43">
        <f>'02_Loan_Portfolio'!N43</f>
        <v>6.8750000000000006E-2</v>
      </c>
      <c r="D43">
        <f>'02_Loan_Portfolio'!R43</f>
        <v>0.10312499999999999</v>
      </c>
      <c r="E43">
        <f>'02_Loan_Portfolio'!O43</f>
        <v>0.7903</v>
      </c>
      <c r="F43">
        <f>'02_Loan_Portfolio'!P43</f>
        <v>1812514724712</v>
      </c>
      <c r="G43">
        <f t="shared" si="0"/>
        <v>6.8750000000000006E-2</v>
      </c>
      <c r="H43">
        <f t="shared" si="1"/>
        <v>98479589102.117691</v>
      </c>
      <c r="I43" t="str">
        <f t="shared" si="2"/>
        <v>12M ECL</v>
      </c>
    </row>
    <row r="44" spans="1:9">
      <c r="A44" t="str">
        <f>'02_Loan_Portfolio'!A44</f>
        <v>LN00043</v>
      </c>
      <c r="B44">
        <f>'02_Loan_Portfolio'!Q44</f>
        <v>1</v>
      </c>
      <c r="C44">
        <f>'02_Loan_Portfolio'!N44</f>
        <v>5.5E-2</v>
      </c>
      <c r="D44">
        <f>'02_Loan_Portfolio'!R44</f>
        <v>8.2500000000000004E-2</v>
      </c>
      <c r="E44">
        <f>'02_Loan_Portfolio'!O44</f>
        <v>0.39589800000000003</v>
      </c>
      <c r="F44">
        <f>'02_Loan_Portfolio'!P44</f>
        <v>1517992867664</v>
      </c>
      <c r="G44">
        <f t="shared" si="0"/>
        <v>5.5E-2</v>
      </c>
      <c r="H44">
        <f t="shared" si="1"/>
        <v>33053368717.734325</v>
      </c>
      <c r="I44" t="str">
        <f t="shared" si="2"/>
        <v>12M ECL</v>
      </c>
    </row>
    <row r="45" spans="1:9">
      <c r="A45" t="str">
        <f>'02_Loan_Portfolio'!A45</f>
        <v>LN00044</v>
      </c>
      <c r="B45">
        <f>'02_Loan_Portfolio'!Q45</f>
        <v>1</v>
      </c>
      <c r="C45">
        <f>'02_Loan_Portfolio'!N45</f>
        <v>1.4999999999999999E-2</v>
      </c>
      <c r="D45">
        <f>'02_Loan_Portfolio'!R45</f>
        <v>2.2499999999999999E-2</v>
      </c>
      <c r="E45">
        <f>'02_Loan_Portfolio'!O45</f>
        <v>0.43299599999999999</v>
      </c>
      <c r="F45">
        <f>'02_Loan_Portfolio'!P45</f>
        <v>2380958016578</v>
      </c>
      <c r="G45">
        <f t="shared" si="0"/>
        <v>1.4999999999999999E-2</v>
      </c>
      <c r="H45">
        <f t="shared" si="1"/>
        <v>15464179460.193113</v>
      </c>
      <c r="I45" t="str">
        <f t="shared" si="2"/>
        <v>12M ECL</v>
      </c>
    </row>
    <row r="46" spans="1:9">
      <c r="A46" t="str">
        <f>'02_Loan_Portfolio'!A46</f>
        <v>LN00045</v>
      </c>
      <c r="B46">
        <f>'02_Loan_Portfolio'!Q46</f>
        <v>1</v>
      </c>
      <c r="C46">
        <f>'02_Loan_Portfolio'!N46</f>
        <v>6.8750000000000006E-2</v>
      </c>
      <c r="D46">
        <f>'02_Loan_Portfolio'!R46</f>
        <v>0.10312499999999999</v>
      </c>
      <c r="E46">
        <f>'02_Loan_Portfolio'!O46</f>
        <v>0.47707300000000002</v>
      </c>
      <c r="F46">
        <f>'02_Loan_Portfolio'!P46</f>
        <v>488291791070</v>
      </c>
      <c r="G46">
        <f t="shared" si="0"/>
        <v>6.8750000000000006E-2</v>
      </c>
      <c r="H46">
        <f t="shared" si="1"/>
        <v>16015369537.828247</v>
      </c>
      <c r="I46" t="str">
        <f t="shared" si="2"/>
        <v>12M ECL</v>
      </c>
    </row>
    <row r="47" spans="1:9">
      <c r="A47" t="str">
        <f>'02_Loan_Portfolio'!A47</f>
        <v>LN00046</v>
      </c>
      <c r="B47">
        <f>'02_Loan_Portfolio'!Q47</f>
        <v>1</v>
      </c>
      <c r="C47">
        <f>'02_Loan_Portfolio'!N47</f>
        <v>8.1878000000000006E-2</v>
      </c>
      <c r="D47">
        <f>'02_Loan_Portfolio'!R47</f>
        <v>0.122817</v>
      </c>
      <c r="E47">
        <f>'02_Loan_Portfolio'!O47</f>
        <v>0.45034200000000002</v>
      </c>
      <c r="F47">
        <f>'02_Loan_Portfolio'!P47</f>
        <v>1265104374134</v>
      </c>
      <c r="G47">
        <f t="shared" si="0"/>
        <v>8.1878000000000006E-2</v>
      </c>
      <c r="H47">
        <f t="shared" si="1"/>
        <v>46648322977.257957</v>
      </c>
      <c r="I47" t="str">
        <f t="shared" si="2"/>
        <v>12M ECL</v>
      </c>
    </row>
    <row r="48" spans="1:9">
      <c r="A48" t="str">
        <f>'02_Loan_Portfolio'!A48</f>
        <v>LN00047</v>
      </c>
      <c r="B48">
        <f>'02_Loan_Portfolio'!Q48</f>
        <v>1</v>
      </c>
      <c r="C48">
        <f>'02_Loan_Portfolio'!N48</f>
        <v>0.19689200000000001</v>
      </c>
      <c r="D48">
        <f>'02_Loan_Portfolio'!R48</f>
        <v>0.29533700000000002</v>
      </c>
      <c r="E48">
        <f>'02_Loan_Portfolio'!O48</f>
        <v>0.38692100000000001</v>
      </c>
      <c r="F48">
        <f>'02_Loan_Portfolio'!P48</f>
        <v>275213923922</v>
      </c>
      <c r="G48">
        <f t="shared" si="0"/>
        <v>0.19689200000000001</v>
      </c>
      <c r="H48">
        <f t="shared" si="1"/>
        <v>20966250698.552315</v>
      </c>
      <c r="I48" t="str">
        <f t="shared" si="2"/>
        <v>12M ECL</v>
      </c>
    </row>
    <row r="49" spans="1:9">
      <c r="A49" t="str">
        <f>'02_Loan_Portfolio'!A49</f>
        <v>LN00048</v>
      </c>
      <c r="B49">
        <f>'02_Loan_Portfolio'!Q49</f>
        <v>1</v>
      </c>
      <c r="C49">
        <f>'02_Loan_Portfolio'!N49</f>
        <v>6.8750000000000006E-2</v>
      </c>
      <c r="D49">
        <f>'02_Loan_Portfolio'!R49</f>
        <v>0.10312499999999999</v>
      </c>
      <c r="E49">
        <f>'02_Loan_Portfolio'!O49</f>
        <v>0.51289200000000001</v>
      </c>
      <c r="F49">
        <f>'02_Loan_Portfolio'!P49</f>
        <v>3044426322842</v>
      </c>
      <c r="G49">
        <f t="shared" si="0"/>
        <v>6.8750000000000006E-2</v>
      </c>
      <c r="H49">
        <f t="shared" si="1"/>
        <v>107350506008.2867</v>
      </c>
      <c r="I49" t="str">
        <f t="shared" si="2"/>
        <v>12M ECL</v>
      </c>
    </row>
    <row r="50" spans="1:9">
      <c r="A50" t="str">
        <f>'02_Loan_Portfolio'!A50</f>
        <v>LN00049</v>
      </c>
      <c r="B50">
        <f>'02_Loan_Portfolio'!Q50</f>
        <v>1</v>
      </c>
      <c r="C50">
        <f>'02_Loan_Portfolio'!N50</f>
        <v>1.3271E-2</v>
      </c>
      <c r="D50">
        <f>'02_Loan_Portfolio'!R50</f>
        <v>1.9906E-2</v>
      </c>
      <c r="E50">
        <f>'02_Loan_Portfolio'!O50</f>
        <v>0.57775299999999996</v>
      </c>
      <c r="F50">
        <f>'02_Loan_Portfolio'!P50</f>
        <v>591506602050</v>
      </c>
      <c r="G50">
        <f t="shared" si="0"/>
        <v>1.3271E-2</v>
      </c>
      <c r="H50">
        <f t="shared" si="1"/>
        <v>4535294097.5590038</v>
      </c>
      <c r="I50" t="str">
        <f t="shared" si="2"/>
        <v>12M ECL</v>
      </c>
    </row>
    <row r="51" spans="1:9">
      <c r="A51" t="str">
        <f>'02_Loan_Portfolio'!A51</f>
        <v>LN00050</v>
      </c>
      <c r="B51">
        <f>'02_Loan_Portfolio'!Q51</f>
        <v>1</v>
      </c>
      <c r="C51">
        <f>'02_Loan_Portfolio'!N51</f>
        <v>2.6089999999999999E-2</v>
      </c>
      <c r="D51">
        <f>'02_Loan_Portfolio'!R51</f>
        <v>3.9135000000000003E-2</v>
      </c>
      <c r="E51">
        <f>'02_Loan_Portfolio'!O51</f>
        <v>0.58251799999999998</v>
      </c>
      <c r="F51">
        <f>'02_Loan_Portfolio'!P51</f>
        <v>1465659697999</v>
      </c>
      <c r="G51">
        <f t="shared" si="0"/>
        <v>2.6089999999999999E-2</v>
      </c>
      <c r="H51">
        <f t="shared" si="1"/>
        <v>22274941638.969826</v>
      </c>
      <c r="I51" t="str">
        <f t="shared" si="2"/>
        <v>12M ECL</v>
      </c>
    </row>
    <row r="52" spans="1:9">
      <c r="A52" t="str">
        <f>'02_Loan_Portfolio'!A52</f>
        <v>LN00051</v>
      </c>
      <c r="B52">
        <f>'02_Loan_Portfolio'!Q52</f>
        <v>1</v>
      </c>
      <c r="C52">
        <f>'02_Loan_Portfolio'!N52</f>
        <v>5.0000000000000001E-3</v>
      </c>
      <c r="D52">
        <f>'02_Loan_Portfolio'!R52</f>
        <v>7.4999999999999997E-3</v>
      </c>
      <c r="E52">
        <f>'02_Loan_Portfolio'!O52</f>
        <v>0.78625800000000001</v>
      </c>
      <c r="F52">
        <f>'02_Loan_Portfolio'!P52</f>
        <v>2111951193612</v>
      </c>
      <c r="G52">
        <f t="shared" si="0"/>
        <v>5.0000000000000001E-3</v>
      </c>
      <c r="H52">
        <f t="shared" si="1"/>
        <v>8302692607.9349203</v>
      </c>
      <c r="I52" t="str">
        <f t="shared" si="2"/>
        <v>12M ECL</v>
      </c>
    </row>
    <row r="53" spans="1:9">
      <c r="A53" t="str">
        <f>'02_Loan_Portfolio'!A53</f>
        <v>LN00052</v>
      </c>
      <c r="B53">
        <f>'02_Loan_Portfolio'!Q53</f>
        <v>2</v>
      </c>
      <c r="C53">
        <f>'02_Loan_Portfolio'!N53</f>
        <v>0.10585700000000001</v>
      </c>
      <c r="D53">
        <f>'02_Loan_Portfolio'!R53</f>
        <v>0.31757099999999999</v>
      </c>
      <c r="E53">
        <f>'02_Loan_Portfolio'!O53</f>
        <v>0.58261399999999997</v>
      </c>
      <c r="F53">
        <f>'02_Loan_Portfolio'!P53</f>
        <v>2269895365194</v>
      </c>
      <c r="G53">
        <f t="shared" si="0"/>
        <v>0.31757099999999999</v>
      </c>
      <c r="H53">
        <f t="shared" si="1"/>
        <v>419979015379.44006</v>
      </c>
      <c r="I53" t="str">
        <f t="shared" si="2"/>
        <v>Lifetime ECL</v>
      </c>
    </row>
    <row r="54" spans="1:9">
      <c r="A54" t="str">
        <f>'02_Loan_Portfolio'!A54</f>
        <v>LN00053</v>
      </c>
      <c r="B54">
        <f>'02_Loan_Portfolio'!Q54</f>
        <v>2</v>
      </c>
      <c r="C54">
        <f>'02_Loan_Portfolio'!N54</f>
        <v>4.3749999999999997E-2</v>
      </c>
      <c r="D54">
        <f>'02_Loan_Portfolio'!R54</f>
        <v>0.13125000000000001</v>
      </c>
      <c r="E54">
        <f>'02_Loan_Portfolio'!O54</f>
        <v>0.40046300000000001</v>
      </c>
      <c r="F54">
        <f>'02_Loan_Portfolio'!P54</f>
        <v>2272987810836</v>
      </c>
      <c r="G54">
        <f t="shared" si="0"/>
        <v>0.13125000000000001</v>
      </c>
      <c r="H54">
        <f t="shared" si="1"/>
        <v>119469986696.91975</v>
      </c>
      <c r="I54" t="str">
        <f t="shared" si="2"/>
        <v>Lifetime ECL</v>
      </c>
    </row>
    <row r="55" spans="1:9">
      <c r="A55" t="str">
        <f>'02_Loan_Portfolio'!A55</f>
        <v>LN00054</v>
      </c>
      <c r="B55">
        <f>'02_Loan_Portfolio'!Q55</f>
        <v>2</v>
      </c>
      <c r="C55">
        <f>'02_Loan_Portfolio'!N55</f>
        <v>1.7999999999999999E-2</v>
      </c>
      <c r="D55">
        <f>'02_Loan_Portfolio'!R55</f>
        <v>5.3999999999999999E-2</v>
      </c>
      <c r="E55">
        <f>'02_Loan_Portfolio'!O55</f>
        <v>0.58857999999999999</v>
      </c>
      <c r="F55">
        <f>'02_Loan_Portfolio'!P55</f>
        <v>398490863462</v>
      </c>
      <c r="G55">
        <f t="shared" si="0"/>
        <v>5.3999999999999999E-2</v>
      </c>
      <c r="H55">
        <f t="shared" si="1"/>
        <v>12665362630.489052</v>
      </c>
      <c r="I55" t="str">
        <f t="shared" si="2"/>
        <v>Lifetime ECL</v>
      </c>
    </row>
    <row r="56" spans="1:9">
      <c r="A56" t="str">
        <f>'02_Loan_Portfolio'!A56</f>
        <v>LN00055</v>
      </c>
      <c r="B56">
        <f>'02_Loan_Portfolio'!Q56</f>
        <v>2</v>
      </c>
      <c r="C56">
        <f>'02_Loan_Portfolio'!N56</f>
        <v>0.21212</v>
      </c>
      <c r="D56">
        <f>'02_Loan_Portfolio'!R56</f>
        <v>0.63636099999999995</v>
      </c>
      <c r="E56">
        <f>'02_Loan_Portfolio'!O56</f>
        <v>0.471051</v>
      </c>
      <c r="F56">
        <f>'02_Loan_Portfolio'!P56</f>
        <v>635013016536</v>
      </c>
      <c r="G56">
        <f t="shared" si="0"/>
        <v>0.63636099999999995</v>
      </c>
      <c r="H56">
        <f t="shared" si="1"/>
        <v>190350540053.10165</v>
      </c>
      <c r="I56" t="str">
        <f t="shared" si="2"/>
        <v>Lifetime ECL</v>
      </c>
    </row>
    <row r="57" spans="1:9">
      <c r="A57" t="str">
        <f>'02_Loan_Portfolio'!A57</f>
        <v>LN00056</v>
      </c>
      <c r="B57">
        <f>'02_Loan_Portfolio'!Q57</f>
        <v>2</v>
      </c>
      <c r="C57">
        <f>'02_Loan_Portfolio'!N57</f>
        <v>8.7325E-2</v>
      </c>
      <c r="D57">
        <f>'02_Loan_Portfolio'!R57</f>
        <v>0.26197500000000001</v>
      </c>
      <c r="E57">
        <f>'02_Loan_Portfolio'!O57</f>
        <v>0.86949399999999999</v>
      </c>
      <c r="F57">
        <f>'02_Loan_Portfolio'!P57</f>
        <v>2319584042441</v>
      </c>
      <c r="G57">
        <f t="shared" si="0"/>
        <v>0.26197500000000001</v>
      </c>
      <c r="H57">
        <f t="shared" si="1"/>
        <v>528368053128.14215</v>
      </c>
      <c r="I57" t="str">
        <f t="shared" si="2"/>
        <v>Lifetime ECL</v>
      </c>
    </row>
    <row r="58" spans="1:9">
      <c r="A58" t="str">
        <f>'02_Loan_Portfolio'!A58</f>
        <v>LN00057</v>
      </c>
      <c r="B58">
        <f>'02_Loan_Portfolio'!Q58</f>
        <v>1</v>
      </c>
      <c r="C58">
        <f>'02_Loan_Portfolio'!N58</f>
        <v>2.5000000000000001E-2</v>
      </c>
      <c r="D58">
        <f>'02_Loan_Portfolio'!R58</f>
        <v>3.7499999999999999E-2</v>
      </c>
      <c r="E58">
        <f>'02_Loan_Portfolio'!O58</f>
        <v>0.77352299999999996</v>
      </c>
      <c r="F58">
        <f>'02_Loan_Portfolio'!P58</f>
        <v>2185138635035</v>
      </c>
      <c r="G58">
        <f t="shared" si="0"/>
        <v>2.5000000000000001E-2</v>
      </c>
      <c r="H58">
        <f t="shared" si="1"/>
        <v>42256374809.70446</v>
      </c>
      <c r="I58" t="str">
        <f t="shared" si="2"/>
        <v>12M ECL</v>
      </c>
    </row>
    <row r="59" spans="1:9">
      <c r="A59" t="str">
        <f>'02_Loan_Portfolio'!A59</f>
        <v>LN00058</v>
      </c>
      <c r="B59">
        <f>'02_Loan_Portfolio'!Q59</f>
        <v>3</v>
      </c>
      <c r="C59">
        <f>'02_Loan_Portfolio'!N59</f>
        <v>0.33605200000000002</v>
      </c>
      <c r="D59">
        <f>'02_Loan_Portfolio'!R59</f>
        <v>0.33605200000000002</v>
      </c>
      <c r="E59">
        <f>'02_Loan_Portfolio'!O59</f>
        <v>0.53765700000000005</v>
      </c>
      <c r="F59">
        <f>'02_Loan_Portfolio'!P59</f>
        <v>72322552893</v>
      </c>
      <c r="G59">
        <f t="shared" si="0"/>
        <v>0.33605200000000002</v>
      </c>
      <c r="H59">
        <f t="shared" si="1"/>
        <v>13067290217.580694</v>
      </c>
      <c r="I59" t="str">
        <f t="shared" si="2"/>
        <v>Lifetime ECL</v>
      </c>
    </row>
    <row r="60" spans="1:9">
      <c r="A60" t="str">
        <f>'02_Loan_Portfolio'!A60</f>
        <v>LN00059</v>
      </c>
      <c r="B60">
        <f>'02_Loan_Portfolio'!Q60</f>
        <v>1</v>
      </c>
      <c r="C60">
        <f>'02_Loan_Portfolio'!N60</f>
        <v>1.5131E-2</v>
      </c>
      <c r="D60">
        <f>'02_Loan_Portfolio'!R60</f>
        <v>2.2696999999999998E-2</v>
      </c>
      <c r="E60">
        <f>'02_Loan_Portfolio'!O60</f>
        <v>0.29522100000000001</v>
      </c>
      <c r="F60">
        <f>'02_Loan_Portfolio'!P60</f>
        <v>2059710451290</v>
      </c>
      <c r="G60">
        <f t="shared" si="0"/>
        <v>1.5131E-2</v>
      </c>
      <c r="H60">
        <f t="shared" si="1"/>
        <v>9200703828.1716537</v>
      </c>
      <c r="I60" t="str">
        <f t="shared" si="2"/>
        <v>12M ECL</v>
      </c>
    </row>
    <row r="61" spans="1:9">
      <c r="A61" t="str">
        <f>'02_Loan_Portfolio'!A61</f>
        <v>LN00060</v>
      </c>
      <c r="B61">
        <f>'02_Loan_Portfolio'!Q61</f>
        <v>1</v>
      </c>
      <c r="C61">
        <f>'02_Loan_Portfolio'!N61</f>
        <v>0.31062699999999999</v>
      </c>
      <c r="D61">
        <f>'02_Loan_Portfolio'!R61</f>
        <v>0.46594000000000002</v>
      </c>
      <c r="E61">
        <f>'02_Loan_Portfolio'!O61</f>
        <v>0.71304599999999996</v>
      </c>
      <c r="F61">
        <f>'02_Loan_Portfolio'!P61</f>
        <v>1427692854675</v>
      </c>
      <c r="G61">
        <f t="shared" si="0"/>
        <v>0.31062699999999999</v>
      </c>
      <c r="H61">
        <f t="shared" si="1"/>
        <v>316221603264.81549</v>
      </c>
      <c r="I61" t="str">
        <f t="shared" si="2"/>
        <v>12M ECL</v>
      </c>
    </row>
    <row r="62" spans="1:9">
      <c r="A62" t="str">
        <f>'02_Loan_Portfolio'!A62</f>
        <v>LN00061</v>
      </c>
      <c r="B62">
        <f>'02_Loan_Portfolio'!Q62</f>
        <v>2</v>
      </c>
      <c r="C62">
        <f>'02_Loan_Portfolio'!N62</f>
        <v>2.1000000000000001E-2</v>
      </c>
      <c r="D62">
        <f>'02_Loan_Portfolio'!R62</f>
        <v>6.3E-2</v>
      </c>
      <c r="E62">
        <f>'02_Loan_Portfolio'!O62</f>
        <v>0.43071500000000001</v>
      </c>
      <c r="F62">
        <f>'02_Loan_Portfolio'!P62</f>
        <v>3027584153303</v>
      </c>
      <c r="G62">
        <f t="shared" si="0"/>
        <v>6.3E-2</v>
      </c>
      <c r="H62">
        <f t="shared" si="1"/>
        <v>82153632241.163803</v>
      </c>
      <c r="I62" t="str">
        <f t="shared" si="2"/>
        <v>Lifetime ECL</v>
      </c>
    </row>
    <row r="63" spans="1:9">
      <c r="A63" t="str">
        <f>'02_Loan_Portfolio'!A63</f>
        <v>LN00062</v>
      </c>
      <c r="B63">
        <f>'02_Loan_Portfolio'!Q63</f>
        <v>2</v>
      </c>
      <c r="C63">
        <f>'02_Loan_Portfolio'!N63</f>
        <v>3.9583E-2</v>
      </c>
      <c r="D63">
        <f>'02_Loan_Portfolio'!R63</f>
        <v>0.11874999999999999</v>
      </c>
      <c r="E63">
        <f>'02_Loan_Portfolio'!O63</f>
        <v>0.557114</v>
      </c>
      <c r="F63">
        <f>'02_Loan_Portfolio'!P63</f>
        <v>3469349522832</v>
      </c>
      <c r="G63">
        <f t="shared" si="0"/>
        <v>0.11874999999999999</v>
      </c>
      <c r="H63">
        <f t="shared" si="1"/>
        <v>229522753819.98441</v>
      </c>
      <c r="I63" t="str">
        <f t="shared" si="2"/>
        <v>Lifetime ECL</v>
      </c>
    </row>
    <row r="64" spans="1:9">
      <c r="A64" t="str">
        <f>'02_Loan_Portfolio'!A64</f>
        <v>LN00063</v>
      </c>
      <c r="B64">
        <f>'02_Loan_Portfolio'!Q64</f>
        <v>2</v>
      </c>
      <c r="C64">
        <f>'02_Loan_Portfolio'!N64</f>
        <v>4.0139000000000001E-2</v>
      </c>
      <c r="D64">
        <f>'02_Loan_Portfolio'!R64</f>
        <v>0.120416</v>
      </c>
      <c r="E64">
        <f>'02_Loan_Portfolio'!O64</f>
        <v>0.64999300000000004</v>
      </c>
      <c r="F64">
        <f>'02_Loan_Portfolio'!P64</f>
        <v>1703186698265</v>
      </c>
      <c r="G64">
        <f t="shared" si="0"/>
        <v>0.120416</v>
      </c>
      <c r="H64">
        <f t="shared" si="1"/>
        <v>133307668511.37465</v>
      </c>
      <c r="I64" t="str">
        <f t="shared" si="2"/>
        <v>Lifetime ECL</v>
      </c>
    </row>
    <row r="65" spans="1:9">
      <c r="A65" t="str">
        <f>'02_Loan_Portfolio'!A65</f>
        <v>LN00064</v>
      </c>
      <c r="B65">
        <f>'02_Loan_Portfolio'!Q65</f>
        <v>1</v>
      </c>
      <c r="C65">
        <f>'02_Loan_Portfolio'!N65</f>
        <v>3.125E-2</v>
      </c>
      <c r="D65">
        <f>'02_Loan_Portfolio'!R65</f>
        <v>4.6875E-2</v>
      </c>
      <c r="E65">
        <f>'02_Loan_Portfolio'!O65</f>
        <v>0.69665200000000005</v>
      </c>
      <c r="F65">
        <f>'02_Loan_Portfolio'!P65</f>
        <v>3362079560214</v>
      </c>
      <c r="G65">
        <f t="shared" si="0"/>
        <v>3.125E-2</v>
      </c>
      <c r="H65">
        <f t="shared" si="1"/>
        <v>73193732805.693863</v>
      </c>
      <c r="I65" t="str">
        <f t="shared" si="2"/>
        <v>12M ECL</v>
      </c>
    </row>
    <row r="66" spans="1:9">
      <c r="A66" t="str">
        <f>'02_Loan_Portfolio'!A66</f>
        <v>LN00065</v>
      </c>
      <c r="B66">
        <f>'02_Loan_Portfolio'!Q66</f>
        <v>2</v>
      </c>
      <c r="C66">
        <f>'02_Loan_Portfolio'!N66</f>
        <v>3.5755000000000002E-2</v>
      </c>
      <c r="D66">
        <f>'02_Loan_Portfolio'!R66</f>
        <v>0.107265</v>
      </c>
      <c r="E66">
        <f>'02_Loan_Portfolio'!O66</f>
        <v>0.58005499999999999</v>
      </c>
      <c r="F66">
        <f>'02_Loan_Portfolio'!P66</f>
        <v>747059148449</v>
      </c>
      <c r="G66">
        <f t="shared" ref="G66:G129" si="3">IF(B66=1,C66,D66)</f>
        <v>0.107265</v>
      </c>
      <c r="H66">
        <f t="shared" ref="H66:H129" si="4">G66*E66*F66</f>
        <v>46481721075.337265</v>
      </c>
      <c r="I66" t="str">
        <f t="shared" ref="I66:I129" si="5">IF(B66=1,"12M ECL","Lifetime ECL")</f>
        <v>Lifetime ECL</v>
      </c>
    </row>
    <row r="67" spans="1:9">
      <c r="A67" t="str">
        <f>'02_Loan_Portfolio'!A67</f>
        <v>LN00066</v>
      </c>
      <c r="B67">
        <f>'02_Loan_Portfolio'!Q67</f>
        <v>2</v>
      </c>
      <c r="C67">
        <f>'02_Loan_Portfolio'!N67</f>
        <v>0.222806</v>
      </c>
      <c r="D67">
        <f>'02_Loan_Portfolio'!R67</f>
        <v>0.66841700000000004</v>
      </c>
      <c r="E67">
        <f>'02_Loan_Portfolio'!O67</f>
        <v>0.51905400000000002</v>
      </c>
      <c r="F67">
        <f>'02_Loan_Portfolio'!P67</f>
        <v>656461921338</v>
      </c>
      <c r="G67">
        <f t="shared" si="3"/>
        <v>0.66841700000000004</v>
      </c>
      <c r="H67">
        <f t="shared" si="4"/>
        <v>227755864567.5517</v>
      </c>
      <c r="I67" t="str">
        <f t="shared" si="5"/>
        <v>Lifetime ECL</v>
      </c>
    </row>
    <row r="68" spans="1:9">
      <c r="A68" t="str">
        <f>'02_Loan_Portfolio'!A68</f>
        <v>LN00067</v>
      </c>
      <c r="B68">
        <f>'02_Loan_Portfolio'!Q68</f>
        <v>2</v>
      </c>
      <c r="C68">
        <f>'02_Loan_Portfolio'!N68</f>
        <v>5.2082999999999997E-2</v>
      </c>
      <c r="D68">
        <f>'02_Loan_Portfolio'!R68</f>
        <v>0.15625</v>
      </c>
      <c r="E68">
        <f>'02_Loan_Portfolio'!O68</f>
        <v>0.67426299999999995</v>
      </c>
      <c r="F68">
        <f>'02_Loan_Portfolio'!P68</f>
        <v>2885005842350</v>
      </c>
      <c r="G68">
        <f t="shared" si="3"/>
        <v>0.15625</v>
      </c>
      <c r="H68">
        <f t="shared" si="4"/>
        <v>303945733481.31842</v>
      </c>
      <c r="I68" t="str">
        <f t="shared" si="5"/>
        <v>Lifetime ECL</v>
      </c>
    </row>
    <row r="69" spans="1:9">
      <c r="A69" t="str">
        <f>'02_Loan_Portfolio'!A69</f>
        <v>LN00068</v>
      </c>
      <c r="B69">
        <f>'02_Loan_Portfolio'!Q69</f>
        <v>1</v>
      </c>
      <c r="C69">
        <f>'02_Loan_Portfolio'!N69</f>
        <v>0.138376</v>
      </c>
      <c r="D69">
        <f>'02_Loan_Portfolio'!R69</f>
        <v>0.207564</v>
      </c>
      <c r="E69">
        <f>'02_Loan_Portfolio'!O69</f>
        <v>0.49484800000000001</v>
      </c>
      <c r="F69">
        <f>'02_Loan_Portfolio'!P69</f>
        <v>578685232513</v>
      </c>
      <c r="G69">
        <f t="shared" si="3"/>
        <v>0.138376</v>
      </c>
      <c r="H69">
        <f t="shared" si="4"/>
        <v>39625521553.982742</v>
      </c>
      <c r="I69" t="str">
        <f t="shared" si="5"/>
        <v>12M ECL</v>
      </c>
    </row>
    <row r="70" spans="1:9">
      <c r="A70" t="str">
        <f>'02_Loan_Portfolio'!A70</f>
        <v>LN00069</v>
      </c>
      <c r="B70">
        <f>'02_Loan_Portfolio'!Q70</f>
        <v>1</v>
      </c>
      <c r="C70">
        <f>'02_Loan_Portfolio'!N70</f>
        <v>6.6631999999999997E-2</v>
      </c>
      <c r="D70">
        <f>'02_Loan_Portfolio'!R70</f>
        <v>9.9947999999999995E-2</v>
      </c>
      <c r="E70">
        <f>'02_Loan_Portfolio'!O70</f>
        <v>0.62374399999999997</v>
      </c>
      <c r="F70">
        <f>'02_Loan_Portfolio'!P70</f>
        <v>521518166153</v>
      </c>
      <c r="G70">
        <f t="shared" si="3"/>
        <v>6.6631999999999997E-2</v>
      </c>
      <c r="H70">
        <f t="shared" si="4"/>
        <v>21674978282.592117</v>
      </c>
      <c r="I70" t="str">
        <f t="shared" si="5"/>
        <v>12M ECL</v>
      </c>
    </row>
    <row r="71" spans="1:9">
      <c r="A71" t="str">
        <f>'02_Loan_Portfolio'!A71</f>
        <v>LN00070</v>
      </c>
      <c r="B71">
        <f>'02_Loan_Portfolio'!Q71</f>
        <v>2</v>
      </c>
      <c r="C71">
        <f>'02_Loan_Portfolio'!N71</f>
        <v>0.22</v>
      </c>
      <c r="D71">
        <f>'02_Loan_Portfolio'!R71</f>
        <v>0.66</v>
      </c>
      <c r="E71">
        <f>'02_Loan_Portfolio'!O71</f>
        <v>0.62182599999999999</v>
      </c>
      <c r="F71">
        <f>'02_Loan_Portfolio'!P71</f>
        <v>914761968143</v>
      </c>
      <c r="G71">
        <f t="shared" si="3"/>
        <v>0.66</v>
      </c>
      <c r="H71">
        <f t="shared" si="4"/>
        <v>375423031897.64282</v>
      </c>
      <c r="I71" t="str">
        <f t="shared" si="5"/>
        <v>Lifetime ECL</v>
      </c>
    </row>
    <row r="72" spans="1:9">
      <c r="A72" t="str">
        <f>'02_Loan_Portfolio'!A72</f>
        <v>LN00071</v>
      </c>
      <c r="B72">
        <f>'02_Loan_Portfolio'!Q72</f>
        <v>3</v>
      </c>
      <c r="C72">
        <f>'02_Loan_Portfolio'!N72</f>
        <v>0.95270200000000005</v>
      </c>
      <c r="D72">
        <f>'02_Loan_Portfolio'!R72</f>
        <v>0.95270200000000005</v>
      </c>
      <c r="E72">
        <f>'02_Loan_Portfolio'!O72</f>
        <v>0.41717500000000002</v>
      </c>
      <c r="F72">
        <f>'02_Loan_Portfolio'!P72</f>
        <v>939716611787</v>
      </c>
      <c r="G72">
        <f t="shared" si="3"/>
        <v>0.95270200000000005</v>
      </c>
      <c r="H72">
        <f t="shared" si="4"/>
        <v>373484218647.99475</v>
      </c>
      <c r="I72" t="str">
        <f t="shared" si="5"/>
        <v>Lifetime ECL</v>
      </c>
    </row>
    <row r="73" spans="1:9">
      <c r="A73" t="str">
        <f>'02_Loan_Portfolio'!A73</f>
        <v>LN00072</v>
      </c>
      <c r="B73">
        <f>'02_Loan_Portfolio'!Q73</f>
        <v>1</v>
      </c>
      <c r="C73">
        <f>'02_Loan_Portfolio'!N73</f>
        <v>0.15</v>
      </c>
      <c r="D73">
        <f>'02_Loan_Portfolio'!R73</f>
        <v>0.22500000000000001</v>
      </c>
      <c r="E73">
        <f>'02_Loan_Portfolio'!O73</f>
        <v>0.44550499999999998</v>
      </c>
      <c r="F73">
        <f>'02_Loan_Portfolio'!P73</f>
        <v>542447098665</v>
      </c>
      <c r="G73">
        <f t="shared" si="3"/>
        <v>0.15</v>
      </c>
      <c r="H73">
        <f t="shared" si="4"/>
        <v>36249434203.612617</v>
      </c>
      <c r="I73" t="str">
        <f t="shared" si="5"/>
        <v>12M ECL</v>
      </c>
    </row>
    <row r="74" spans="1:9">
      <c r="A74" t="str">
        <f>'02_Loan_Portfolio'!A74</f>
        <v>LN00073</v>
      </c>
      <c r="B74">
        <f>'02_Loan_Portfolio'!Q74</f>
        <v>3</v>
      </c>
      <c r="C74">
        <f>'02_Loan_Portfolio'!N74</f>
        <v>6.6932000000000005E-2</v>
      </c>
      <c r="D74">
        <f>'02_Loan_Portfolio'!R74</f>
        <v>6.6932000000000005E-2</v>
      </c>
      <c r="E74">
        <f>'02_Loan_Portfolio'!O74</f>
        <v>0.49713000000000002</v>
      </c>
      <c r="F74">
        <f>'02_Loan_Portfolio'!P74</f>
        <v>2021050356590</v>
      </c>
      <c r="G74">
        <f t="shared" si="3"/>
        <v>6.6932000000000005E-2</v>
      </c>
      <c r="H74">
        <f t="shared" si="4"/>
        <v>67248237888.75985</v>
      </c>
      <c r="I74" t="str">
        <f t="shared" si="5"/>
        <v>Lifetime ECL</v>
      </c>
    </row>
    <row r="75" spans="1:9">
      <c r="A75" t="str">
        <f>'02_Loan_Portfolio'!A75</f>
        <v>LN00074</v>
      </c>
      <c r="B75">
        <f>'02_Loan_Portfolio'!Q75</f>
        <v>1</v>
      </c>
      <c r="C75">
        <f>'02_Loan_Portfolio'!N75</f>
        <v>3.3989999999999999E-2</v>
      </c>
      <c r="D75">
        <f>'02_Loan_Portfolio'!R75</f>
        <v>5.0985000000000003E-2</v>
      </c>
      <c r="E75">
        <f>'02_Loan_Portfolio'!O75</f>
        <v>0.53708900000000004</v>
      </c>
      <c r="F75">
        <f>'02_Loan_Portfolio'!P75</f>
        <v>352046009369</v>
      </c>
      <c r="G75">
        <f t="shared" si="3"/>
        <v>3.3989999999999999E-2</v>
      </c>
      <c r="H75">
        <f t="shared" si="4"/>
        <v>6426830529.892293</v>
      </c>
      <c r="I75" t="str">
        <f t="shared" si="5"/>
        <v>12M ECL</v>
      </c>
    </row>
    <row r="76" spans="1:9">
      <c r="A76" t="str">
        <f>'02_Loan_Portfolio'!A76</f>
        <v>LN00075</v>
      </c>
      <c r="B76">
        <f>'02_Loan_Portfolio'!Q76</f>
        <v>1</v>
      </c>
      <c r="C76">
        <f>'02_Loan_Portfolio'!N76</f>
        <v>3.7878000000000002E-2</v>
      </c>
      <c r="D76">
        <f>'02_Loan_Portfolio'!R76</f>
        <v>5.6816999999999999E-2</v>
      </c>
      <c r="E76">
        <f>'02_Loan_Portfolio'!O76</f>
        <v>0.39662599999999998</v>
      </c>
      <c r="F76">
        <f>'02_Loan_Portfolio'!P76</f>
        <v>2935229877015</v>
      </c>
      <c r="G76">
        <f t="shared" si="3"/>
        <v>3.7878000000000002E-2</v>
      </c>
      <c r="H76">
        <f t="shared" si="4"/>
        <v>44097131442.441635</v>
      </c>
      <c r="I76" t="str">
        <f t="shared" si="5"/>
        <v>12M ECL</v>
      </c>
    </row>
    <row r="77" spans="1:9">
      <c r="A77" t="str">
        <f>'02_Loan_Portfolio'!A77</f>
        <v>LN00076</v>
      </c>
      <c r="B77">
        <f>'02_Loan_Portfolio'!Q77</f>
        <v>1</v>
      </c>
      <c r="C77">
        <f>'02_Loan_Portfolio'!N77</f>
        <v>3.7179999999999998E-2</v>
      </c>
      <c r="D77">
        <f>'02_Loan_Portfolio'!R77</f>
        <v>5.577E-2</v>
      </c>
      <c r="E77">
        <f>'02_Loan_Portfolio'!O77</f>
        <v>0.609819</v>
      </c>
      <c r="F77">
        <f>'02_Loan_Portfolio'!P77</f>
        <v>3282676517606</v>
      </c>
      <c r="G77">
        <f t="shared" si="3"/>
        <v>3.7179999999999998E-2</v>
      </c>
      <c r="H77">
        <f t="shared" si="4"/>
        <v>74428355849.761215</v>
      </c>
      <c r="I77" t="str">
        <f t="shared" si="5"/>
        <v>12M ECL</v>
      </c>
    </row>
    <row r="78" spans="1:9">
      <c r="A78" t="str">
        <f>'02_Loan_Portfolio'!A78</f>
        <v>LN00077</v>
      </c>
      <c r="B78">
        <f>'02_Loan_Portfolio'!Q78</f>
        <v>1</v>
      </c>
      <c r="C78">
        <f>'02_Loan_Portfolio'!N78</f>
        <v>9.5744999999999997E-2</v>
      </c>
      <c r="D78">
        <f>'02_Loan_Portfolio'!R78</f>
        <v>0.14361699999999999</v>
      </c>
      <c r="E78">
        <f>'02_Loan_Portfolio'!O78</f>
        <v>0.71422799999999997</v>
      </c>
      <c r="F78">
        <f>'02_Loan_Portfolio'!P78</f>
        <v>2004948921504</v>
      </c>
      <c r="G78">
        <f t="shared" si="3"/>
        <v>9.5744999999999997E-2</v>
      </c>
      <c r="H78">
        <f t="shared" si="4"/>
        <v>137105945579.69551</v>
      </c>
      <c r="I78" t="str">
        <f t="shared" si="5"/>
        <v>12M ECL</v>
      </c>
    </row>
    <row r="79" spans="1:9">
      <c r="A79" t="str">
        <f>'02_Loan_Portfolio'!A79</f>
        <v>LN00078</v>
      </c>
      <c r="B79">
        <f>'02_Loan_Portfolio'!Q79</f>
        <v>2</v>
      </c>
      <c r="C79">
        <f>'02_Loan_Portfolio'!N79</f>
        <v>2.8000000000000001E-2</v>
      </c>
      <c r="D79">
        <f>'02_Loan_Portfolio'!R79</f>
        <v>8.4000000000000005E-2</v>
      </c>
      <c r="E79">
        <f>'02_Loan_Portfolio'!O79</f>
        <v>0.52473199999999998</v>
      </c>
      <c r="F79">
        <f>'02_Loan_Portfolio'!P79</f>
        <v>2702286874891</v>
      </c>
      <c r="G79">
        <f t="shared" si="3"/>
        <v>8.4000000000000005E-2</v>
      </c>
      <c r="H79">
        <f t="shared" si="4"/>
        <v>119110017300.56555</v>
      </c>
      <c r="I79" t="str">
        <f t="shared" si="5"/>
        <v>Lifetime ECL</v>
      </c>
    </row>
    <row r="80" spans="1:9">
      <c r="A80" t="str">
        <f>'02_Loan_Portfolio'!A80</f>
        <v>LN00079</v>
      </c>
      <c r="B80">
        <f>'02_Loan_Portfolio'!Q80</f>
        <v>1</v>
      </c>
      <c r="C80">
        <f>'02_Loan_Portfolio'!N80</f>
        <v>7.0079000000000002E-2</v>
      </c>
      <c r="D80">
        <f>'02_Loan_Portfolio'!R80</f>
        <v>0.105118</v>
      </c>
      <c r="E80">
        <f>'02_Loan_Portfolio'!O80</f>
        <v>0.611178</v>
      </c>
      <c r="F80">
        <f>'02_Loan_Portfolio'!P80</f>
        <v>28653058149</v>
      </c>
      <c r="G80">
        <f t="shared" si="3"/>
        <v>7.0079000000000002E-2</v>
      </c>
      <c r="H80">
        <f t="shared" si="4"/>
        <v>1227231771.5203643</v>
      </c>
      <c r="I80" t="str">
        <f t="shared" si="5"/>
        <v>12M ECL</v>
      </c>
    </row>
    <row r="81" spans="1:9">
      <c r="A81" t="str">
        <f>'02_Loan_Portfolio'!A81</f>
        <v>LN00080</v>
      </c>
      <c r="B81">
        <f>'02_Loan_Portfolio'!Q81</f>
        <v>1</v>
      </c>
      <c r="C81">
        <f>'02_Loan_Portfolio'!N81</f>
        <v>2.6398000000000001E-2</v>
      </c>
      <c r="D81">
        <f>'02_Loan_Portfolio'!R81</f>
        <v>3.9597E-2</v>
      </c>
      <c r="E81">
        <f>'02_Loan_Portfolio'!O81</f>
        <v>0.39208900000000002</v>
      </c>
      <c r="F81">
        <f>'02_Loan_Portfolio'!P81</f>
        <v>2514076814424</v>
      </c>
      <c r="G81">
        <f t="shared" si="3"/>
        <v>2.6398000000000001E-2</v>
      </c>
      <c r="H81">
        <f t="shared" si="4"/>
        <v>26021613728.266083</v>
      </c>
      <c r="I81" t="str">
        <f t="shared" si="5"/>
        <v>12M ECL</v>
      </c>
    </row>
    <row r="82" spans="1:9">
      <c r="A82" t="str">
        <f>'02_Loan_Portfolio'!A82</f>
        <v>LN00081</v>
      </c>
      <c r="B82">
        <f>'02_Loan_Portfolio'!Q82</f>
        <v>1</v>
      </c>
      <c r="C82">
        <f>'02_Loan_Portfolio'!N82</f>
        <v>2.5000000000000001E-2</v>
      </c>
      <c r="D82">
        <f>'02_Loan_Portfolio'!R82</f>
        <v>3.7499999999999999E-2</v>
      </c>
      <c r="E82">
        <f>'02_Loan_Portfolio'!O82</f>
        <v>0.51238799999999995</v>
      </c>
      <c r="F82">
        <f>'02_Loan_Portfolio'!P82</f>
        <v>479248870264</v>
      </c>
      <c r="G82">
        <f t="shared" si="3"/>
        <v>2.5000000000000001E-2</v>
      </c>
      <c r="H82">
        <f t="shared" si="4"/>
        <v>6139034253.4207611</v>
      </c>
      <c r="I82" t="str">
        <f t="shared" si="5"/>
        <v>12M ECL</v>
      </c>
    </row>
    <row r="83" spans="1:9">
      <c r="A83" t="str">
        <f>'02_Loan_Portfolio'!A83</f>
        <v>LN00082</v>
      </c>
      <c r="B83">
        <f>'02_Loan_Portfolio'!Q83</f>
        <v>1</v>
      </c>
      <c r="C83">
        <f>'02_Loan_Portfolio'!N83</f>
        <v>3.6850000000000001E-2</v>
      </c>
      <c r="D83">
        <f>'02_Loan_Portfolio'!R83</f>
        <v>5.5274999999999998E-2</v>
      </c>
      <c r="E83">
        <f>'02_Loan_Portfolio'!O83</f>
        <v>0.605402</v>
      </c>
      <c r="F83">
        <f>'02_Loan_Portfolio'!P83</f>
        <v>1820818238555</v>
      </c>
      <c r="G83">
        <f t="shared" si="3"/>
        <v>3.6850000000000001E-2</v>
      </c>
      <c r="H83">
        <f t="shared" si="4"/>
        <v>40620750070.045288</v>
      </c>
      <c r="I83" t="str">
        <f t="shared" si="5"/>
        <v>12M ECL</v>
      </c>
    </row>
    <row r="84" spans="1:9">
      <c r="A84" t="str">
        <f>'02_Loan_Portfolio'!A84</f>
        <v>LN00083</v>
      </c>
      <c r="B84">
        <f>'02_Loan_Portfolio'!Q84</f>
        <v>1</v>
      </c>
      <c r="C84">
        <f>'02_Loan_Portfolio'!N84</f>
        <v>2.5999999999999999E-3</v>
      </c>
      <c r="D84">
        <f>'02_Loan_Portfolio'!R84</f>
        <v>3.8999999999999998E-3</v>
      </c>
      <c r="E84">
        <f>'02_Loan_Portfolio'!O84</f>
        <v>0.37917400000000001</v>
      </c>
      <c r="F84">
        <f>'02_Loan_Portfolio'!P84</f>
        <v>2100599410445</v>
      </c>
      <c r="G84">
        <f t="shared" si="3"/>
        <v>2.5999999999999999E-3</v>
      </c>
      <c r="H84">
        <f t="shared" si="4"/>
        <v>2070880970.2257886</v>
      </c>
      <c r="I84" t="str">
        <f t="shared" si="5"/>
        <v>12M ECL</v>
      </c>
    </row>
    <row r="85" spans="1:9">
      <c r="A85" t="str">
        <f>'02_Loan_Portfolio'!A85</f>
        <v>LN00084</v>
      </c>
      <c r="B85">
        <f>'02_Loan_Portfolio'!Q85</f>
        <v>1</v>
      </c>
      <c r="C85">
        <f>'02_Loan_Portfolio'!N85</f>
        <v>0.12</v>
      </c>
      <c r="D85">
        <f>'02_Loan_Portfolio'!R85</f>
        <v>0.18</v>
      </c>
      <c r="E85">
        <f>'02_Loan_Portfolio'!O85</f>
        <v>0.65971400000000002</v>
      </c>
      <c r="F85">
        <f>'02_Loan_Portfolio'!P85</f>
        <v>2178408109904</v>
      </c>
      <c r="G85">
        <f t="shared" si="3"/>
        <v>0.12</v>
      </c>
      <c r="H85">
        <f t="shared" si="4"/>
        <v>172455159338.06491</v>
      </c>
      <c r="I85" t="str">
        <f t="shared" si="5"/>
        <v>12M ECL</v>
      </c>
    </row>
    <row r="86" spans="1:9">
      <c r="A86" t="str">
        <f>'02_Loan_Portfolio'!A86</f>
        <v>LN00085</v>
      </c>
      <c r="B86">
        <f>'02_Loan_Portfolio'!Q86</f>
        <v>1</v>
      </c>
      <c r="C86">
        <f>'02_Loan_Portfolio'!N86</f>
        <v>3.7499999999999999E-2</v>
      </c>
      <c r="D86">
        <f>'02_Loan_Portfolio'!R86</f>
        <v>5.6250000000000001E-2</v>
      </c>
      <c r="E86">
        <f>'02_Loan_Portfolio'!O86</f>
        <v>0.45285300000000001</v>
      </c>
      <c r="F86">
        <f>'02_Loan_Portfolio'!P86</f>
        <v>1087284370733</v>
      </c>
      <c r="G86">
        <f t="shared" si="3"/>
        <v>3.7499999999999999E-2</v>
      </c>
      <c r="H86">
        <f t="shared" si="4"/>
        <v>18464249592.733173</v>
      </c>
      <c r="I86" t="str">
        <f t="shared" si="5"/>
        <v>12M ECL</v>
      </c>
    </row>
    <row r="87" spans="1:9">
      <c r="A87" t="str">
        <f>'02_Loan_Portfolio'!A87</f>
        <v>LN00086</v>
      </c>
      <c r="B87">
        <f>'02_Loan_Portfolio'!Q87</f>
        <v>1</v>
      </c>
      <c r="C87">
        <f>'02_Loan_Portfolio'!N87</f>
        <v>6.0472999999999999E-2</v>
      </c>
      <c r="D87">
        <f>'02_Loan_Portfolio'!R87</f>
        <v>9.0709999999999999E-2</v>
      </c>
      <c r="E87">
        <f>'02_Loan_Portfolio'!O87</f>
        <v>0.66661999999999999</v>
      </c>
      <c r="F87">
        <f>'02_Loan_Portfolio'!P87</f>
        <v>1331215342596</v>
      </c>
      <c r="G87">
        <f t="shared" si="3"/>
        <v>6.0472999999999999E-2</v>
      </c>
      <c r="H87">
        <f t="shared" si="4"/>
        <v>53664633487.886002</v>
      </c>
      <c r="I87" t="str">
        <f t="shared" si="5"/>
        <v>12M ECL</v>
      </c>
    </row>
    <row r="88" spans="1:9">
      <c r="A88" t="str">
        <f>'02_Loan_Portfolio'!A88</f>
        <v>LN00087</v>
      </c>
      <c r="B88">
        <f>'02_Loan_Portfolio'!Q88</f>
        <v>1</v>
      </c>
      <c r="C88">
        <f>'02_Loan_Portfolio'!N88</f>
        <v>6.4400000000000004E-3</v>
      </c>
      <c r="D88">
        <f>'02_Loan_Portfolio'!R88</f>
        <v>9.6600000000000002E-3</v>
      </c>
      <c r="E88">
        <f>'02_Loan_Portfolio'!O88</f>
        <v>0.40850500000000001</v>
      </c>
      <c r="F88">
        <f>'02_Loan_Portfolio'!P88</f>
        <v>2790581540097</v>
      </c>
      <c r="G88">
        <f t="shared" si="3"/>
        <v>6.4400000000000004E-3</v>
      </c>
      <c r="H88">
        <f t="shared" si="4"/>
        <v>7341384337.5203733</v>
      </c>
      <c r="I88" t="str">
        <f t="shared" si="5"/>
        <v>12M ECL</v>
      </c>
    </row>
    <row r="89" spans="1:9">
      <c r="A89" t="str">
        <f>'02_Loan_Portfolio'!A89</f>
        <v>LN00088</v>
      </c>
      <c r="B89">
        <f>'02_Loan_Portfolio'!Q89</f>
        <v>1</v>
      </c>
      <c r="C89">
        <f>'02_Loan_Portfolio'!N89</f>
        <v>0.28000000000000003</v>
      </c>
      <c r="D89">
        <f>'02_Loan_Portfolio'!R89</f>
        <v>0.42</v>
      </c>
      <c r="E89">
        <f>'02_Loan_Portfolio'!O89</f>
        <v>0.58657300000000001</v>
      </c>
      <c r="F89">
        <f>'02_Loan_Portfolio'!P89</f>
        <v>2971429646498</v>
      </c>
      <c r="G89">
        <f t="shared" si="3"/>
        <v>0.28000000000000003</v>
      </c>
      <c r="H89">
        <f t="shared" si="4"/>
        <v>488028912569.87604</v>
      </c>
      <c r="I89" t="str">
        <f t="shared" si="5"/>
        <v>12M ECL</v>
      </c>
    </row>
    <row r="90" spans="1:9">
      <c r="A90" t="str">
        <f>'02_Loan_Portfolio'!A90</f>
        <v>LN00089</v>
      </c>
      <c r="B90">
        <f>'02_Loan_Portfolio'!Q90</f>
        <v>2</v>
      </c>
      <c r="C90">
        <f>'02_Loan_Portfolio'!N90</f>
        <v>4.5832999999999999E-2</v>
      </c>
      <c r="D90">
        <f>'02_Loan_Portfolio'!R90</f>
        <v>0.13750000000000001</v>
      </c>
      <c r="E90">
        <f>'02_Loan_Portfolio'!O90</f>
        <v>0.506054</v>
      </c>
      <c r="F90">
        <f>'02_Loan_Portfolio'!P90</f>
        <v>2887307697562</v>
      </c>
      <c r="G90">
        <f t="shared" si="3"/>
        <v>0.13750000000000001</v>
      </c>
      <c r="H90">
        <f t="shared" si="4"/>
        <v>200905871317.53055</v>
      </c>
      <c r="I90" t="str">
        <f t="shared" si="5"/>
        <v>Lifetime ECL</v>
      </c>
    </row>
    <row r="91" spans="1:9">
      <c r="A91" t="str">
        <f>'02_Loan_Portfolio'!A91</f>
        <v>LN00090</v>
      </c>
      <c r="B91">
        <f>'02_Loan_Portfolio'!Q91</f>
        <v>1</v>
      </c>
      <c r="C91">
        <f>'02_Loan_Portfolio'!N91</f>
        <v>1.5582E-2</v>
      </c>
      <c r="D91">
        <f>'02_Loan_Portfolio'!R91</f>
        <v>2.3373000000000001E-2</v>
      </c>
      <c r="E91">
        <f>'02_Loan_Portfolio'!O91</f>
        <v>0.64654900000000004</v>
      </c>
      <c r="F91">
        <f>'02_Loan_Portfolio'!P91</f>
        <v>3203105547443</v>
      </c>
      <c r="G91">
        <f t="shared" si="3"/>
        <v>1.5582E-2</v>
      </c>
      <c r="H91">
        <f t="shared" si="4"/>
        <v>32269771777.667412</v>
      </c>
      <c r="I91" t="str">
        <f t="shared" si="5"/>
        <v>12M ECL</v>
      </c>
    </row>
    <row r="92" spans="1:9">
      <c r="A92" t="str">
        <f>'02_Loan_Portfolio'!A92</f>
        <v>LN00091</v>
      </c>
      <c r="B92">
        <f>'02_Loan_Portfolio'!Q92</f>
        <v>1</v>
      </c>
      <c r="C92">
        <f>'02_Loan_Portfolio'!N92</f>
        <v>7.0680999999999994E-2</v>
      </c>
      <c r="D92">
        <f>'02_Loan_Portfolio'!R92</f>
        <v>0.10602200000000001</v>
      </c>
      <c r="E92">
        <f>'02_Loan_Portfolio'!O92</f>
        <v>0.53852500000000003</v>
      </c>
      <c r="F92">
        <f>'02_Loan_Portfolio'!P92</f>
        <v>1569671092313</v>
      </c>
      <c r="G92">
        <f t="shared" si="3"/>
        <v>7.0680999999999994E-2</v>
      </c>
      <c r="H92">
        <f t="shared" si="4"/>
        <v>59747152901.266808</v>
      </c>
      <c r="I92" t="str">
        <f t="shared" si="5"/>
        <v>12M ECL</v>
      </c>
    </row>
    <row r="93" spans="1:9">
      <c r="A93" t="str">
        <f>'02_Loan_Portfolio'!A93</f>
        <v>LN00092</v>
      </c>
      <c r="B93">
        <f>'02_Loan_Portfolio'!Q93</f>
        <v>1</v>
      </c>
      <c r="C93">
        <f>'02_Loan_Portfolio'!N93</f>
        <v>7.3915999999999996E-2</v>
      </c>
      <c r="D93">
        <f>'02_Loan_Portfolio'!R93</f>
        <v>0.110873</v>
      </c>
      <c r="E93">
        <f>'02_Loan_Portfolio'!O93</f>
        <v>0.54749400000000004</v>
      </c>
      <c r="F93">
        <f>'02_Loan_Portfolio'!P93</f>
        <v>2592750499949</v>
      </c>
      <c r="G93">
        <f t="shared" si="3"/>
        <v>7.3915999999999996E-2</v>
      </c>
      <c r="H93">
        <f t="shared" si="4"/>
        <v>104924896035.46535</v>
      </c>
      <c r="I93" t="str">
        <f t="shared" si="5"/>
        <v>12M ECL</v>
      </c>
    </row>
    <row r="94" spans="1:9">
      <c r="A94" t="str">
        <f>'02_Loan_Portfolio'!A94</f>
        <v>LN00093</v>
      </c>
      <c r="B94">
        <f>'02_Loan_Portfolio'!Q94</f>
        <v>1</v>
      </c>
      <c r="C94">
        <f>'02_Loan_Portfolio'!N94</f>
        <v>5.7951000000000003E-2</v>
      </c>
      <c r="D94">
        <f>'02_Loan_Portfolio'!R94</f>
        <v>8.6927000000000004E-2</v>
      </c>
      <c r="E94">
        <f>'02_Loan_Portfolio'!O94</f>
        <v>0.408273</v>
      </c>
      <c r="F94">
        <f>'02_Loan_Portfolio'!P94</f>
        <v>1465846529304</v>
      </c>
      <c r="G94">
        <f t="shared" si="3"/>
        <v>5.7951000000000003E-2</v>
      </c>
      <c r="H94">
        <f t="shared" si="4"/>
        <v>34681677670.951988</v>
      </c>
      <c r="I94" t="str">
        <f t="shared" si="5"/>
        <v>12M ECL</v>
      </c>
    </row>
    <row r="95" spans="1:9">
      <c r="A95" t="str">
        <f>'02_Loan_Portfolio'!A95</f>
        <v>LN00094</v>
      </c>
      <c r="B95">
        <f>'02_Loan_Portfolio'!Q95</f>
        <v>2</v>
      </c>
      <c r="C95">
        <f>'02_Loan_Portfolio'!N95</f>
        <v>0.19</v>
      </c>
      <c r="D95">
        <f>'02_Loan_Portfolio'!R95</f>
        <v>0.56999999999999995</v>
      </c>
      <c r="E95">
        <f>'02_Loan_Portfolio'!O95</f>
        <v>0.39948499999999998</v>
      </c>
      <c r="F95">
        <f>'02_Loan_Portfolio'!P95</f>
        <v>762781881377</v>
      </c>
      <c r="G95">
        <f t="shared" si="3"/>
        <v>0.56999999999999995</v>
      </c>
      <c r="H95">
        <f t="shared" si="4"/>
        <v>173690354332.67776</v>
      </c>
      <c r="I95" t="str">
        <f t="shared" si="5"/>
        <v>Lifetime ECL</v>
      </c>
    </row>
    <row r="96" spans="1:9">
      <c r="A96" t="str">
        <f>'02_Loan_Portfolio'!A96</f>
        <v>LN00095</v>
      </c>
      <c r="B96">
        <f>'02_Loan_Portfolio'!Q96</f>
        <v>1</v>
      </c>
      <c r="C96">
        <f>'02_Loan_Portfolio'!N96</f>
        <v>1.3636000000000001E-2</v>
      </c>
      <c r="D96">
        <f>'02_Loan_Portfolio'!R96</f>
        <v>2.0455000000000001E-2</v>
      </c>
      <c r="E96">
        <f>'02_Loan_Portfolio'!O96</f>
        <v>0.59264099999999997</v>
      </c>
      <c r="F96">
        <f>'02_Loan_Portfolio'!P96</f>
        <v>2404806237466</v>
      </c>
      <c r="G96">
        <f t="shared" si="3"/>
        <v>1.3636000000000001E-2</v>
      </c>
      <c r="H96">
        <f t="shared" si="4"/>
        <v>19433846841.783604</v>
      </c>
      <c r="I96" t="str">
        <f t="shared" si="5"/>
        <v>12M ECL</v>
      </c>
    </row>
    <row r="97" spans="1:9">
      <c r="A97" t="str">
        <f>'02_Loan_Portfolio'!A97</f>
        <v>LN00096</v>
      </c>
      <c r="B97">
        <f>'02_Loan_Portfolio'!Q97</f>
        <v>1</v>
      </c>
      <c r="C97">
        <f>'02_Loan_Portfolio'!N97</f>
        <v>0.35</v>
      </c>
      <c r="D97">
        <f>'02_Loan_Portfolio'!R97</f>
        <v>0.52500000000000002</v>
      </c>
      <c r="E97">
        <f>'02_Loan_Portfolio'!O97</f>
        <v>0.56712499999999999</v>
      </c>
      <c r="F97">
        <f>'02_Loan_Portfolio'!P97</f>
        <v>468478054830</v>
      </c>
      <c r="G97">
        <f t="shared" si="3"/>
        <v>0.35</v>
      </c>
      <c r="H97">
        <f t="shared" si="4"/>
        <v>92989965895.912308</v>
      </c>
      <c r="I97" t="str">
        <f t="shared" si="5"/>
        <v>12M ECL</v>
      </c>
    </row>
    <row r="98" spans="1:9">
      <c r="A98" t="str">
        <f>'02_Loan_Portfolio'!A98</f>
        <v>LN00097</v>
      </c>
      <c r="B98">
        <f>'02_Loan_Portfolio'!Q98</f>
        <v>1</v>
      </c>
      <c r="C98">
        <f>'02_Loan_Portfolio'!N98</f>
        <v>7.8844999999999998E-2</v>
      </c>
      <c r="D98">
        <f>'02_Loan_Portfolio'!R98</f>
        <v>0.118267</v>
      </c>
      <c r="E98">
        <f>'02_Loan_Portfolio'!O98</f>
        <v>0.53527599999999997</v>
      </c>
      <c r="F98">
        <f>'02_Loan_Portfolio'!P98</f>
        <v>674653845206</v>
      </c>
      <c r="G98">
        <f t="shared" si="3"/>
        <v>7.8844999999999998E-2</v>
      </c>
      <c r="H98">
        <f t="shared" si="4"/>
        <v>28472980388.267254</v>
      </c>
      <c r="I98" t="str">
        <f t="shared" si="5"/>
        <v>12M ECL</v>
      </c>
    </row>
    <row r="99" spans="1:9">
      <c r="A99" t="str">
        <f>'02_Loan_Portfolio'!A99</f>
        <v>LN00098</v>
      </c>
      <c r="B99">
        <f>'02_Loan_Portfolio'!Q99</f>
        <v>1</v>
      </c>
      <c r="C99">
        <f>'02_Loan_Portfolio'!N99</f>
        <v>0.12</v>
      </c>
      <c r="D99">
        <f>'02_Loan_Portfolio'!R99</f>
        <v>0.18</v>
      </c>
      <c r="E99">
        <f>'02_Loan_Portfolio'!O99</f>
        <v>0.76827599999999996</v>
      </c>
      <c r="F99">
        <f>'02_Loan_Portfolio'!P99</f>
        <v>2330610041454</v>
      </c>
      <c r="G99">
        <f t="shared" si="3"/>
        <v>0.12</v>
      </c>
      <c r="H99">
        <f t="shared" si="4"/>
        <v>214866211224.97357</v>
      </c>
      <c r="I99" t="str">
        <f t="shared" si="5"/>
        <v>12M ECL</v>
      </c>
    </row>
    <row r="100" spans="1:9">
      <c r="A100" t="str">
        <f>'02_Loan_Portfolio'!A100</f>
        <v>LN00099</v>
      </c>
      <c r="B100">
        <f>'02_Loan_Portfolio'!Q100</f>
        <v>1</v>
      </c>
      <c r="C100">
        <f>'02_Loan_Portfolio'!N100</f>
        <v>5.0000000000000001E-3</v>
      </c>
      <c r="D100">
        <f>'02_Loan_Portfolio'!R100</f>
        <v>7.4999999999999997E-3</v>
      </c>
      <c r="E100">
        <f>'02_Loan_Portfolio'!O100</f>
        <v>0.41211300000000001</v>
      </c>
      <c r="F100">
        <f>'02_Loan_Portfolio'!P100</f>
        <v>2279312257724</v>
      </c>
      <c r="G100">
        <f t="shared" si="3"/>
        <v>5.0000000000000001E-3</v>
      </c>
      <c r="H100">
        <f t="shared" si="4"/>
        <v>4696671062.3370543</v>
      </c>
      <c r="I100" t="str">
        <f t="shared" si="5"/>
        <v>12M ECL</v>
      </c>
    </row>
    <row r="101" spans="1:9">
      <c r="A101" t="str">
        <f>'02_Loan_Portfolio'!A101</f>
        <v>LN00100</v>
      </c>
      <c r="B101">
        <f>'02_Loan_Portfolio'!Q101</f>
        <v>1</v>
      </c>
      <c r="C101">
        <f>'02_Loan_Portfolio'!N101</f>
        <v>5.7036000000000003E-2</v>
      </c>
      <c r="D101">
        <f>'02_Loan_Portfolio'!R101</f>
        <v>8.5554000000000005E-2</v>
      </c>
      <c r="E101">
        <f>'02_Loan_Portfolio'!O101</f>
        <v>0.481713</v>
      </c>
      <c r="F101">
        <f>'02_Loan_Portfolio'!P101</f>
        <v>2374380377484</v>
      </c>
      <c r="G101">
        <f t="shared" si="3"/>
        <v>5.7036000000000003E-2</v>
      </c>
      <c r="H101">
        <f t="shared" si="4"/>
        <v>65236059718.612198</v>
      </c>
      <c r="I101" t="str">
        <f t="shared" si="5"/>
        <v>12M ECL</v>
      </c>
    </row>
    <row r="102" spans="1:9">
      <c r="A102" t="str">
        <f>'02_Loan_Portfolio'!A102</f>
        <v>LN00101</v>
      </c>
      <c r="B102">
        <f>'02_Loan_Portfolio'!Q102</f>
        <v>1</v>
      </c>
      <c r="C102">
        <f>'02_Loan_Portfolio'!N102</f>
        <v>3.125E-2</v>
      </c>
      <c r="D102">
        <f>'02_Loan_Portfolio'!R102</f>
        <v>4.6875E-2</v>
      </c>
      <c r="E102">
        <f>'02_Loan_Portfolio'!O102</f>
        <v>0.30249999999999999</v>
      </c>
      <c r="F102">
        <f>'02_Loan_Portfolio'!P102</f>
        <v>1701626441218</v>
      </c>
      <c r="G102">
        <f t="shared" si="3"/>
        <v>3.125E-2</v>
      </c>
      <c r="H102">
        <f t="shared" si="4"/>
        <v>16085687452.138906</v>
      </c>
      <c r="I102" t="str">
        <f t="shared" si="5"/>
        <v>12M ECL</v>
      </c>
    </row>
    <row r="103" spans="1:9">
      <c r="A103" t="str">
        <f>'02_Loan_Portfolio'!A103</f>
        <v>LN00102</v>
      </c>
      <c r="B103">
        <f>'02_Loan_Portfolio'!Q103</f>
        <v>2</v>
      </c>
      <c r="C103">
        <f>'02_Loan_Portfolio'!N103</f>
        <v>3.3863999999999998E-2</v>
      </c>
      <c r="D103">
        <f>'02_Loan_Portfolio'!R103</f>
        <v>0.101592</v>
      </c>
      <c r="E103">
        <f>'02_Loan_Portfolio'!O103</f>
        <v>0.50192000000000003</v>
      </c>
      <c r="F103">
        <f>'02_Loan_Portfolio'!P103</f>
        <v>2093345652612</v>
      </c>
      <c r="G103">
        <f t="shared" si="3"/>
        <v>0.101592</v>
      </c>
      <c r="H103">
        <f t="shared" si="4"/>
        <v>106741906739.43626</v>
      </c>
      <c r="I103" t="str">
        <f t="shared" si="5"/>
        <v>Lifetime ECL</v>
      </c>
    </row>
    <row r="104" spans="1:9">
      <c r="A104" t="str">
        <f>'02_Loan_Portfolio'!A104</f>
        <v>LN00103</v>
      </c>
      <c r="B104">
        <f>'02_Loan_Portfolio'!Q104</f>
        <v>1</v>
      </c>
      <c r="C104">
        <f>'02_Loan_Portfolio'!N104</f>
        <v>3.125E-2</v>
      </c>
      <c r="D104">
        <f>'02_Loan_Portfolio'!R104</f>
        <v>4.6875E-2</v>
      </c>
      <c r="E104">
        <f>'02_Loan_Portfolio'!O104</f>
        <v>0.51570199999999999</v>
      </c>
      <c r="F104">
        <f>'02_Loan_Portfolio'!P104</f>
        <v>428082034485</v>
      </c>
      <c r="G104">
        <f t="shared" si="3"/>
        <v>3.125E-2</v>
      </c>
      <c r="H104">
        <f t="shared" si="4"/>
        <v>6898836292.1244831</v>
      </c>
      <c r="I104" t="str">
        <f t="shared" si="5"/>
        <v>12M ECL</v>
      </c>
    </row>
    <row r="105" spans="1:9">
      <c r="A105" t="str">
        <f>'02_Loan_Portfolio'!A105</f>
        <v>LN00104</v>
      </c>
      <c r="B105">
        <f>'02_Loan_Portfolio'!Q105</f>
        <v>1</v>
      </c>
      <c r="C105">
        <f>'02_Loan_Portfolio'!N105</f>
        <v>6.8750000000000006E-2</v>
      </c>
      <c r="D105">
        <f>'02_Loan_Portfolio'!R105</f>
        <v>0.10312499999999999</v>
      </c>
      <c r="E105">
        <f>'02_Loan_Portfolio'!O105</f>
        <v>0.68695700000000004</v>
      </c>
      <c r="F105">
        <f>'02_Loan_Portfolio'!P105</f>
        <v>1773884345856</v>
      </c>
      <c r="G105">
        <f t="shared" si="3"/>
        <v>6.8750000000000006E-2</v>
      </c>
      <c r="H105">
        <f t="shared" si="4"/>
        <v>83777530964.61377</v>
      </c>
      <c r="I105" t="str">
        <f t="shared" si="5"/>
        <v>12M ECL</v>
      </c>
    </row>
    <row r="106" spans="1:9">
      <c r="A106" t="str">
        <f>'02_Loan_Portfolio'!A106</f>
        <v>LN00105</v>
      </c>
      <c r="B106">
        <f>'02_Loan_Portfolio'!Q106</f>
        <v>1</v>
      </c>
      <c r="C106">
        <f>'02_Loan_Portfolio'!N106</f>
        <v>0.178561</v>
      </c>
      <c r="D106">
        <f>'02_Loan_Portfolio'!R106</f>
        <v>0.267841</v>
      </c>
      <c r="E106">
        <f>'02_Loan_Portfolio'!O106</f>
        <v>0.32392100000000001</v>
      </c>
      <c r="F106">
        <f>'02_Loan_Portfolio'!P106</f>
        <v>148594887271</v>
      </c>
      <c r="G106">
        <f t="shared" si="3"/>
        <v>0.178561</v>
      </c>
      <c r="H106">
        <f t="shared" si="4"/>
        <v>8594677412.9014244</v>
      </c>
      <c r="I106" t="str">
        <f t="shared" si="5"/>
        <v>12M ECL</v>
      </c>
    </row>
    <row r="107" spans="1:9">
      <c r="A107" t="str">
        <f>'02_Loan_Portfolio'!A107</f>
        <v>LN00106</v>
      </c>
      <c r="B107">
        <f>'02_Loan_Portfolio'!Q107</f>
        <v>2</v>
      </c>
      <c r="C107">
        <f>'02_Loan_Portfolio'!N107</f>
        <v>0.12592900000000001</v>
      </c>
      <c r="D107">
        <f>'02_Loan_Portfolio'!R107</f>
        <v>0.37778600000000001</v>
      </c>
      <c r="E107">
        <f>'02_Loan_Portfolio'!O107</f>
        <v>0.35899799999999998</v>
      </c>
      <c r="F107">
        <f>'02_Loan_Portfolio'!P107</f>
        <v>506805984064</v>
      </c>
      <c r="G107">
        <f t="shared" si="3"/>
        <v>0.37778600000000001</v>
      </c>
      <c r="H107">
        <f t="shared" si="4"/>
        <v>68735266844.510239</v>
      </c>
      <c r="I107" t="str">
        <f t="shared" si="5"/>
        <v>Lifetime ECL</v>
      </c>
    </row>
    <row r="108" spans="1:9">
      <c r="A108" t="str">
        <f>'02_Loan_Portfolio'!A108</f>
        <v>LN00107</v>
      </c>
      <c r="B108">
        <f>'02_Loan_Portfolio'!Q108</f>
        <v>1</v>
      </c>
      <c r="C108">
        <f>'02_Loan_Portfolio'!N108</f>
        <v>1.3698E-2</v>
      </c>
      <c r="D108">
        <f>'02_Loan_Portfolio'!R108</f>
        <v>2.0546999999999999E-2</v>
      </c>
      <c r="E108">
        <f>'02_Loan_Portfolio'!O108</f>
        <v>0.72525300000000004</v>
      </c>
      <c r="F108">
        <f>'02_Loan_Portfolio'!P108</f>
        <v>1606494063298</v>
      </c>
      <c r="G108">
        <f t="shared" si="3"/>
        <v>1.3698E-2</v>
      </c>
      <c r="H108">
        <f t="shared" si="4"/>
        <v>15959740323.502403</v>
      </c>
      <c r="I108" t="str">
        <f t="shared" si="5"/>
        <v>12M ECL</v>
      </c>
    </row>
    <row r="109" spans="1:9">
      <c r="A109" t="str">
        <f>'02_Loan_Portfolio'!A109</f>
        <v>LN00108</v>
      </c>
      <c r="B109">
        <f>'02_Loan_Portfolio'!Q109</f>
        <v>2</v>
      </c>
      <c r="C109">
        <f>'02_Loan_Portfolio'!N109</f>
        <v>0.44333299999999998</v>
      </c>
      <c r="D109">
        <f>'02_Loan_Portfolio'!R109</f>
        <v>0.99</v>
      </c>
      <c r="E109">
        <f>'02_Loan_Portfolio'!O109</f>
        <v>0.63950300000000004</v>
      </c>
      <c r="F109">
        <f>'02_Loan_Portfolio'!P109</f>
        <v>116080789809</v>
      </c>
      <c r="G109">
        <f t="shared" si="3"/>
        <v>0.99</v>
      </c>
      <c r="H109">
        <f t="shared" si="4"/>
        <v>73491673191.972687</v>
      </c>
      <c r="I109" t="str">
        <f t="shared" si="5"/>
        <v>Lifetime ECL</v>
      </c>
    </row>
    <row r="110" spans="1:9">
      <c r="A110" t="str">
        <f>'02_Loan_Portfolio'!A110</f>
        <v>LN00109</v>
      </c>
      <c r="B110">
        <f>'02_Loan_Portfolio'!Q110</f>
        <v>1</v>
      </c>
      <c r="C110">
        <f>'02_Loan_Portfolio'!N110</f>
        <v>2.7082999999999999E-2</v>
      </c>
      <c r="D110">
        <f>'02_Loan_Portfolio'!R110</f>
        <v>4.0625000000000001E-2</v>
      </c>
      <c r="E110">
        <f>'02_Loan_Portfolio'!O110</f>
        <v>0.42958299999999999</v>
      </c>
      <c r="F110">
        <f>'02_Loan_Portfolio'!P110</f>
        <v>684011752083</v>
      </c>
      <c r="G110">
        <f t="shared" si="3"/>
        <v>2.7082999999999999E-2</v>
      </c>
      <c r="H110">
        <f t="shared" si="4"/>
        <v>7958063858.4680176</v>
      </c>
      <c r="I110" t="str">
        <f t="shared" si="5"/>
        <v>12M ECL</v>
      </c>
    </row>
    <row r="111" spans="1:9">
      <c r="A111" t="str">
        <f>'02_Loan_Portfolio'!A111</f>
        <v>LN00110</v>
      </c>
      <c r="B111">
        <f>'02_Loan_Portfolio'!Q111</f>
        <v>1</v>
      </c>
      <c r="C111">
        <f>'02_Loan_Portfolio'!N111</f>
        <v>0.16295799999999999</v>
      </c>
      <c r="D111">
        <f>'02_Loan_Portfolio'!R111</f>
        <v>0.24443699999999999</v>
      </c>
      <c r="E111">
        <f>'02_Loan_Portfolio'!O111</f>
        <v>0.31294899999999998</v>
      </c>
      <c r="F111">
        <f>'02_Loan_Portfolio'!P111</f>
        <v>692459196847</v>
      </c>
      <c r="G111">
        <f t="shared" si="3"/>
        <v>0.16295799999999999</v>
      </c>
      <c r="H111">
        <f t="shared" si="4"/>
        <v>35313717765.279549</v>
      </c>
      <c r="I111" t="str">
        <f t="shared" si="5"/>
        <v>12M ECL</v>
      </c>
    </row>
    <row r="112" spans="1:9">
      <c r="A112" t="str">
        <f>'02_Loan_Portfolio'!A112</f>
        <v>LN00111</v>
      </c>
      <c r="B112">
        <f>'02_Loan_Portfolio'!Q112</f>
        <v>1</v>
      </c>
      <c r="C112">
        <f>'02_Loan_Portfolio'!N112</f>
        <v>0.38213200000000003</v>
      </c>
      <c r="D112">
        <f>'02_Loan_Portfolio'!R112</f>
        <v>0.57319799999999999</v>
      </c>
      <c r="E112">
        <f>'02_Loan_Portfolio'!O112</f>
        <v>0.50496200000000002</v>
      </c>
      <c r="F112">
        <f>'02_Loan_Portfolio'!P112</f>
        <v>2759793582212</v>
      </c>
      <c r="G112">
        <f t="shared" si="3"/>
        <v>0.38213200000000003</v>
      </c>
      <c r="H112">
        <f t="shared" si="4"/>
        <v>532535672777.94324</v>
      </c>
      <c r="I112" t="str">
        <f t="shared" si="5"/>
        <v>12M ECL</v>
      </c>
    </row>
    <row r="113" spans="1:9">
      <c r="A113" t="str">
        <f>'02_Loan_Portfolio'!A113</f>
        <v>LN00112</v>
      </c>
      <c r="B113">
        <f>'02_Loan_Portfolio'!Q113</f>
        <v>2</v>
      </c>
      <c r="C113">
        <f>'02_Loan_Portfolio'!N113</f>
        <v>1.0416999999999999E-2</v>
      </c>
      <c r="D113">
        <f>'02_Loan_Portfolio'!R113</f>
        <v>3.125E-2</v>
      </c>
      <c r="E113">
        <f>'02_Loan_Portfolio'!O113</f>
        <v>0.453592</v>
      </c>
      <c r="F113">
        <f>'02_Loan_Portfolio'!P113</f>
        <v>2520841281384</v>
      </c>
      <c r="G113">
        <f t="shared" si="3"/>
        <v>3.125E-2</v>
      </c>
      <c r="H113">
        <f t="shared" si="4"/>
        <v>35732294953.297852</v>
      </c>
      <c r="I113" t="str">
        <f t="shared" si="5"/>
        <v>Lifetime ECL</v>
      </c>
    </row>
    <row r="114" spans="1:9">
      <c r="A114" t="str">
        <f>'02_Loan_Portfolio'!A114</f>
        <v>LN00113</v>
      </c>
      <c r="B114">
        <f>'02_Loan_Portfolio'!Q114</f>
        <v>1</v>
      </c>
      <c r="C114">
        <f>'02_Loan_Portfolio'!N114</f>
        <v>3.4224999999999998E-2</v>
      </c>
      <c r="D114">
        <f>'02_Loan_Portfolio'!R114</f>
        <v>5.1337000000000001E-2</v>
      </c>
      <c r="E114">
        <f>'02_Loan_Portfolio'!O114</f>
        <v>0.52656999999999998</v>
      </c>
      <c r="F114">
        <f>'02_Loan_Portfolio'!P114</f>
        <v>2150945182972</v>
      </c>
      <c r="G114">
        <f t="shared" si="3"/>
        <v>3.4224999999999998E-2</v>
      </c>
      <c r="H114">
        <f t="shared" si="4"/>
        <v>38764029191.041695</v>
      </c>
      <c r="I114" t="str">
        <f t="shared" si="5"/>
        <v>12M ECL</v>
      </c>
    </row>
    <row r="115" spans="1:9">
      <c r="A115" t="str">
        <f>'02_Loan_Portfolio'!A115</f>
        <v>LN00114</v>
      </c>
      <c r="B115">
        <f>'02_Loan_Portfolio'!Q115</f>
        <v>2</v>
      </c>
      <c r="C115">
        <f>'02_Loan_Portfolio'!N115</f>
        <v>4.4186999999999997E-2</v>
      </c>
      <c r="D115">
        <f>'02_Loan_Portfolio'!R115</f>
        <v>0.13256200000000001</v>
      </c>
      <c r="E115">
        <f>'02_Loan_Portfolio'!O115</f>
        <v>0.54265600000000003</v>
      </c>
      <c r="F115">
        <f>'02_Loan_Portfolio'!P115</f>
        <v>589089710429</v>
      </c>
      <c r="G115">
        <f t="shared" si="3"/>
        <v>0.13256200000000001</v>
      </c>
      <c r="H115">
        <f t="shared" si="4"/>
        <v>42376500962.175087</v>
      </c>
      <c r="I115" t="str">
        <f t="shared" si="5"/>
        <v>Lifetime ECL</v>
      </c>
    </row>
    <row r="116" spans="1:9">
      <c r="A116" t="str">
        <f>'02_Loan_Portfolio'!A116</f>
        <v>LN00115</v>
      </c>
      <c r="B116">
        <f>'02_Loan_Portfolio'!Q116</f>
        <v>1</v>
      </c>
      <c r="C116">
        <f>'02_Loan_Portfolio'!N116</f>
        <v>3.0291999999999999E-2</v>
      </c>
      <c r="D116">
        <f>'02_Loan_Portfolio'!R116</f>
        <v>4.5437999999999999E-2</v>
      </c>
      <c r="E116">
        <f>'02_Loan_Portfolio'!O116</f>
        <v>0.39204899999999998</v>
      </c>
      <c r="F116">
        <f>'02_Loan_Portfolio'!P116</f>
        <v>2085832694736</v>
      </c>
      <c r="G116">
        <f t="shared" si="3"/>
        <v>3.0291999999999999E-2</v>
      </c>
      <c r="H116">
        <f t="shared" si="4"/>
        <v>24771241261.821079</v>
      </c>
      <c r="I116" t="str">
        <f t="shared" si="5"/>
        <v>12M ECL</v>
      </c>
    </row>
    <row r="117" spans="1:9">
      <c r="A117" t="str">
        <f>'02_Loan_Portfolio'!A117</f>
        <v>LN00116</v>
      </c>
      <c r="B117">
        <f>'02_Loan_Portfolio'!Q117</f>
        <v>1</v>
      </c>
      <c r="C117">
        <f>'02_Loan_Portfolio'!N117</f>
        <v>5.7925999999999998E-2</v>
      </c>
      <c r="D117">
        <f>'02_Loan_Portfolio'!R117</f>
        <v>8.6888999999999994E-2</v>
      </c>
      <c r="E117">
        <f>'02_Loan_Portfolio'!O117</f>
        <v>0.53737599999999996</v>
      </c>
      <c r="F117">
        <f>'02_Loan_Portfolio'!P117</f>
        <v>3177268965950</v>
      </c>
      <c r="G117">
        <f t="shared" si="3"/>
        <v>5.7925999999999998E-2</v>
      </c>
      <c r="H117">
        <f t="shared" si="4"/>
        <v>98902162376.587494</v>
      </c>
      <c r="I117" t="str">
        <f t="shared" si="5"/>
        <v>12M ECL</v>
      </c>
    </row>
    <row r="118" spans="1:9">
      <c r="A118" t="str">
        <f>'02_Loan_Portfolio'!A118</f>
        <v>LN00117</v>
      </c>
      <c r="B118">
        <f>'02_Loan_Portfolio'!Q118</f>
        <v>1</v>
      </c>
      <c r="C118">
        <f>'02_Loan_Portfolio'!N118</f>
        <v>5.5E-2</v>
      </c>
      <c r="D118">
        <f>'02_Loan_Portfolio'!R118</f>
        <v>8.2500000000000004E-2</v>
      </c>
      <c r="E118">
        <f>'02_Loan_Portfolio'!O118</f>
        <v>0.37957400000000002</v>
      </c>
      <c r="F118">
        <f>'02_Loan_Portfolio'!P118</f>
        <v>621847385683</v>
      </c>
      <c r="G118">
        <f t="shared" si="3"/>
        <v>5.5E-2</v>
      </c>
      <c r="H118">
        <f t="shared" si="4"/>
        <v>12982040476.528147</v>
      </c>
      <c r="I118" t="str">
        <f t="shared" si="5"/>
        <v>12M ECL</v>
      </c>
    </row>
    <row r="119" spans="1:9">
      <c r="A119" t="str">
        <f>'02_Loan_Portfolio'!A119</f>
        <v>LN00118</v>
      </c>
      <c r="B119">
        <f>'02_Loan_Portfolio'!Q119</f>
        <v>1</v>
      </c>
      <c r="C119">
        <f>'02_Loan_Portfolio'!N119</f>
        <v>3.9331999999999999E-2</v>
      </c>
      <c r="D119">
        <f>'02_Loan_Portfolio'!R119</f>
        <v>5.8998000000000002E-2</v>
      </c>
      <c r="E119">
        <f>'02_Loan_Portfolio'!O119</f>
        <v>0.50088299999999997</v>
      </c>
      <c r="F119">
        <f>'02_Loan_Portfolio'!P119</f>
        <v>2884497805866</v>
      </c>
      <c r="G119">
        <f t="shared" si="3"/>
        <v>3.9331999999999999E-2</v>
      </c>
      <c r="H119">
        <f t="shared" si="4"/>
        <v>56826712908.940132</v>
      </c>
      <c r="I119" t="str">
        <f t="shared" si="5"/>
        <v>12M ECL</v>
      </c>
    </row>
    <row r="120" spans="1:9">
      <c r="A120" t="str">
        <f>'02_Loan_Portfolio'!A120</f>
        <v>LN00119</v>
      </c>
      <c r="B120">
        <f>'02_Loan_Portfolio'!Q120</f>
        <v>1</v>
      </c>
      <c r="C120">
        <f>'02_Loan_Portfolio'!N120</f>
        <v>7.3039000000000007E-2</v>
      </c>
      <c r="D120">
        <f>'02_Loan_Portfolio'!R120</f>
        <v>0.109558</v>
      </c>
      <c r="E120">
        <f>'02_Loan_Portfolio'!O120</f>
        <v>0.47656599999999999</v>
      </c>
      <c r="F120">
        <f>'02_Loan_Portfolio'!P120</f>
        <v>2483038755184</v>
      </c>
      <c r="G120">
        <f t="shared" si="3"/>
        <v>7.3039000000000007E-2</v>
      </c>
      <c r="H120">
        <f t="shared" si="4"/>
        <v>86429374802.46904</v>
      </c>
      <c r="I120" t="str">
        <f t="shared" si="5"/>
        <v>12M ECL</v>
      </c>
    </row>
    <row r="121" spans="1:9">
      <c r="A121" t="str">
        <f>'02_Loan_Portfolio'!A121</f>
        <v>LN00120</v>
      </c>
      <c r="B121">
        <f>'02_Loan_Portfolio'!Q121</f>
        <v>2</v>
      </c>
      <c r="C121">
        <f>'02_Loan_Portfolio'!N121</f>
        <v>4.0905999999999998E-2</v>
      </c>
      <c r="D121">
        <f>'02_Loan_Portfolio'!R121</f>
        <v>0.12271799999999999</v>
      </c>
      <c r="E121">
        <f>'02_Loan_Portfolio'!O121</f>
        <v>0.43979000000000001</v>
      </c>
      <c r="F121">
        <f>'02_Loan_Portfolio'!P121</f>
        <v>2392319543779</v>
      </c>
      <c r="G121">
        <f t="shared" si="3"/>
        <v>0.12271799999999999</v>
      </c>
      <c r="H121">
        <f t="shared" si="4"/>
        <v>129113842759.67496</v>
      </c>
      <c r="I121" t="str">
        <f t="shared" si="5"/>
        <v>Lifetime ECL</v>
      </c>
    </row>
    <row r="122" spans="1:9">
      <c r="A122" t="str">
        <f>'02_Loan_Portfolio'!A122</f>
        <v>LN00121</v>
      </c>
      <c r="B122">
        <f>'02_Loan_Portfolio'!Q122</f>
        <v>2</v>
      </c>
      <c r="C122">
        <f>'02_Loan_Portfolio'!N122</f>
        <v>4.8273999999999997E-2</v>
      </c>
      <c r="D122">
        <f>'02_Loan_Portfolio'!R122</f>
        <v>0.14482300000000001</v>
      </c>
      <c r="E122">
        <f>'02_Loan_Portfolio'!O122</f>
        <v>0.48704900000000001</v>
      </c>
      <c r="F122">
        <f>'02_Loan_Portfolio'!P122</f>
        <v>1833930873216</v>
      </c>
      <c r="G122">
        <f t="shared" si="3"/>
        <v>0.14482300000000001</v>
      </c>
      <c r="H122">
        <f t="shared" si="4"/>
        <v>129357959777.97925</v>
      </c>
      <c r="I122" t="str">
        <f t="shared" si="5"/>
        <v>Lifetime ECL</v>
      </c>
    </row>
    <row r="123" spans="1:9">
      <c r="A123" t="str">
        <f>'02_Loan_Portfolio'!A123</f>
        <v>LN00122</v>
      </c>
      <c r="B123">
        <f>'02_Loan_Portfolio'!Q123</f>
        <v>1</v>
      </c>
      <c r="C123">
        <f>'02_Loan_Portfolio'!N123</f>
        <v>0.28000000000000003</v>
      </c>
      <c r="D123">
        <f>'02_Loan_Portfolio'!R123</f>
        <v>0.42</v>
      </c>
      <c r="E123">
        <f>'02_Loan_Portfolio'!O123</f>
        <v>0.46609499999999998</v>
      </c>
      <c r="F123">
        <f>'02_Loan_Portfolio'!P123</f>
        <v>2506721391556</v>
      </c>
      <c r="G123">
        <f t="shared" si="3"/>
        <v>0.28000000000000003</v>
      </c>
      <c r="H123">
        <f t="shared" si="4"/>
        <v>327143685959.24225</v>
      </c>
      <c r="I123" t="str">
        <f t="shared" si="5"/>
        <v>12M ECL</v>
      </c>
    </row>
    <row r="124" spans="1:9">
      <c r="A124" t="str">
        <f>'02_Loan_Portfolio'!A124</f>
        <v>LN00123</v>
      </c>
      <c r="B124">
        <f>'02_Loan_Portfolio'!Q124</f>
        <v>1</v>
      </c>
      <c r="C124">
        <f>'02_Loan_Portfolio'!N124</f>
        <v>2.5000000000000001E-2</v>
      </c>
      <c r="D124">
        <f>'02_Loan_Portfolio'!R124</f>
        <v>3.7499999999999999E-2</v>
      </c>
      <c r="E124">
        <f>'02_Loan_Portfolio'!O124</f>
        <v>0.66766099999999995</v>
      </c>
      <c r="F124">
        <f>'02_Loan_Portfolio'!P124</f>
        <v>1049245530599</v>
      </c>
      <c r="G124">
        <f t="shared" si="3"/>
        <v>2.5000000000000001E-2</v>
      </c>
      <c r="H124">
        <f t="shared" si="4"/>
        <v>17513508005.131474</v>
      </c>
      <c r="I124" t="str">
        <f t="shared" si="5"/>
        <v>12M ECL</v>
      </c>
    </row>
    <row r="125" spans="1:9">
      <c r="A125" t="str">
        <f>'02_Loan_Portfolio'!A125</f>
        <v>LN00124</v>
      </c>
      <c r="B125">
        <f>'02_Loan_Portfolio'!Q125</f>
        <v>1</v>
      </c>
      <c r="C125">
        <f>'02_Loan_Portfolio'!N125</f>
        <v>3.125E-2</v>
      </c>
      <c r="D125">
        <f>'02_Loan_Portfolio'!R125</f>
        <v>4.6875E-2</v>
      </c>
      <c r="E125">
        <f>'02_Loan_Portfolio'!O125</f>
        <v>0.49074099999999998</v>
      </c>
      <c r="F125">
        <f>'02_Loan_Portfolio'!P125</f>
        <v>2968637448656</v>
      </c>
      <c r="G125">
        <f t="shared" si="3"/>
        <v>3.125E-2</v>
      </c>
      <c r="H125">
        <f t="shared" si="4"/>
        <v>45526003443.465439</v>
      </c>
      <c r="I125" t="str">
        <f t="shared" si="5"/>
        <v>12M ECL</v>
      </c>
    </row>
    <row r="126" spans="1:9">
      <c r="A126" t="str">
        <f>'02_Loan_Portfolio'!A126</f>
        <v>LN00125</v>
      </c>
      <c r="B126">
        <f>'02_Loan_Portfolio'!Q126</f>
        <v>2</v>
      </c>
      <c r="C126">
        <f>'02_Loan_Portfolio'!N126</f>
        <v>1.9747000000000001E-2</v>
      </c>
      <c r="D126">
        <f>'02_Loan_Portfolio'!R126</f>
        <v>5.9241000000000002E-2</v>
      </c>
      <c r="E126">
        <f>'02_Loan_Portfolio'!O126</f>
        <v>0.48526000000000002</v>
      </c>
      <c r="F126">
        <f>'02_Loan_Portfolio'!P126</f>
        <v>3192251508748</v>
      </c>
      <c r="G126">
        <f t="shared" si="3"/>
        <v>5.9241000000000002E-2</v>
      </c>
      <c r="H126">
        <f t="shared" si="4"/>
        <v>91768572405.047775</v>
      </c>
      <c r="I126" t="str">
        <f t="shared" si="5"/>
        <v>Lifetime ECL</v>
      </c>
    </row>
    <row r="127" spans="1:9">
      <c r="A127" t="str">
        <f>'02_Loan_Portfolio'!A127</f>
        <v>LN00126</v>
      </c>
      <c r="B127">
        <f>'02_Loan_Portfolio'!Q127</f>
        <v>1</v>
      </c>
      <c r="C127">
        <f>'02_Loan_Portfolio'!N127</f>
        <v>7.4510000000000007E-2</v>
      </c>
      <c r="D127">
        <f>'02_Loan_Portfolio'!R127</f>
        <v>0.111765</v>
      </c>
      <c r="E127">
        <f>'02_Loan_Portfolio'!O127</f>
        <v>0.56576099999999996</v>
      </c>
      <c r="F127">
        <f>'02_Loan_Portfolio'!P127</f>
        <v>1246100399557</v>
      </c>
      <c r="G127">
        <f t="shared" si="3"/>
        <v>7.4510000000000007E-2</v>
      </c>
      <c r="H127">
        <f t="shared" si="4"/>
        <v>52529178057.537247</v>
      </c>
      <c r="I127" t="str">
        <f t="shared" si="5"/>
        <v>12M ECL</v>
      </c>
    </row>
    <row r="128" spans="1:9">
      <c r="A128" t="str">
        <f>'02_Loan_Portfolio'!A128</f>
        <v>LN00127</v>
      </c>
      <c r="B128">
        <f>'02_Loan_Portfolio'!Q128</f>
        <v>2</v>
      </c>
      <c r="C128">
        <f>'02_Loan_Portfolio'!N128</f>
        <v>0.194463</v>
      </c>
      <c r="D128">
        <f>'02_Loan_Portfolio'!R128</f>
        <v>0.58338900000000005</v>
      </c>
      <c r="E128">
        <f>'02_Loan_Portfolio'!O128</f>
        <v>0.52284200000000003</v>
      </c>
      <c r="F128">
        <f>'02_Loan_Portfolio'!P128</f>
        <v>2060944968085</v>
      </c>
      <c r="G128">
        <f t="shared" si="3"/>
        <v>0.58338900000000005</v>
      </c>
      <c r="H128">
        <f t="shared" si="4"/>
        <v>628629993790.1615</v>
      </c>
      <c r="I128" t="str">
        <f t="shared" si="5"/>
        <v>Lifetime ECL</v>
      </c>
    </row>
    <row r="129" spans="1:9">
      <c r="A129" t="str">
        <f>'02_Loan_Portfolio'!A129</f>
        <v>LN00128</v>
      </c>
      <c r="B129">
        <f>'02_Loan_Portfolio'!Q129</f>
        <v>1</v>
      </c>
      <c r="C129">
        <f>'02_Loan_Portfolio'!N129</f>
        <v>6.0548999999999999E-2</v>
      </c>
      <c r="D129">
        <f>'02_Loan_Portfolio'!R129</f>
        <v>9.0823000000000001E-2</v>
      </c>
      <c r="E129">
        <f>'02_Loan_Portfolio'!O129</f>
        <v>0.56124499999999999</v>
      </c>
      <c r="F129">
        <f>'02_Loan_Portfolio'!P129</f>
        <v>2393497138718</v>
      </c>
      <c r="G129">
        <f t="shared" si="3"/>
        <v>6.0548999999999999E-2</v>
      </c>
      <c r="H129">
        <f t="shared" si="4"/>
        <v>81337790824.776291</v>
      </c>
      <c r="I129" t="str">
        <f t="shared" si="5"/>
        <v>12M ECL</v>
      </c>
    </row>
    <row r="130" spans="1:9">
      <c r="A130" t="str">
        <f>'02_Loan_Portfolio'!A130</f>
        <v>LN00129</v>
      </c>
      <c r="B130">
        <f>'02_Loan_Portfolio'!Q130</f>
        <v>1</v>
      </c>
      <c r="C130">
        <f>'02_Loan_Portfolio'!N130</f>
        <v>5.5E-2</v>
      </c>
      <c r="D130">
        <f>'02_Loan_Portfolio'!R130</f>
        <v>8.2500000000000004E-2</v>
      </c>
      <c r="E130">
        <f>'02_Loan_Portfolio'!O130</f>
        <v>0.71781799999999996</v>
      </c>
      <c r="F130">
        <f>'02_Loan_Portfolio'!P130</f>
        <v>1909402276129</v>
      </c>
      <c r="G130">
        <f t="shared" ref="G130:G193" si="6">IF(B130=1,C130,D130)</f>
        <v>5.5E-2</v>
      </c>
      <c r="H130">
        <f t="shared" ref="H130:H193" si="7">G130*E130*F130</f>
        <v>75383182767.550156</v>
      </c>
      <c r="I130" t="str">
        <f t="shared" ref="I130:I193" si="8">IF(B130=1,"12M ECL","Lifetime ECL")</f>
        <v>12M ECL</v>
      </c>
    </row>
    <row r="131" spans="1:9">
      <c r="A131" t="str">
        <f>'02_Loan_Portfolio'!A131</f>
        <v>LN00130</v>
      </c>
      <c r="B131">
        <f>'02_Loan_Portfolio'!Q131</f>
        <v>2</v>
      </c>
      <c r="C131">
        <f>'02_Loan_Portfolio'!N131</f>
        <v>3.8901999999999999E-2</v>
      </c>
      <c r="D131">
        <f>'02_Loan_Portfolio'!R131</f>
        <v>0.116705</v>
      </c>
      <c r="E131">
        <f>'02_Loan_Portfolio'!O131</f>
        <v>0.795346</v>
      </c>
      <c r="F131">
        <f>'02_Loan_Portfolio'!P131</f>
        <v>1657805362410</v>
      </c>
      <c r="G131">
        <f t="shared" si="6"/>
        <v>0.116705</v>
      </c>
      <c r="H131">
        <f t="shared" si="7"/>
        <v>153878911046.43469</v>
      </c>
      <c r="I131" t="str">
        <f t="shared" si="8"/>
        <v>Lifetime ECL</v>
      </c>
    </row>
    <row r="132" spans="1:9">
      <c r="A132" t="str">
        <f>'02_Loan_Portfolio'!A132</f>
        <v>LN00131</v>
      </c>
      <c r="B132">
        <f>'02_Loan_Portfolio'!Q132</f>
        <v>1</v>
      </c>
      <c r="C132">
        <f>'02_Loan_Portfolio'!N132</f>
        <v>2.0233000000000001E-2</v>
      </c>
      <c r="D132">
        <f>'02_Loan_Portfolio'!R132</f>
        <v>3.0349999999999999E-2</v>
      </c>
      <c r="E132">
        <f>'02_Loan_Portfolio'!O132</f>
        <v>0.47110099999999999</v>
      </c>
      <c r="F132">
        <f>'02_Loan_Portfolio'!P132</f>
        <v>1053920082073</v>
      </c>
      <c r="G132">
        <f t="shared" si="6"/>
        <v>2.0233000000000001E-2</v>
      </c>
      <c r="H132">
        <f t="shared" si="7"/>
        <v>10045741245.161676</v>
      </c>
      <c r="I132" t="str">
        <f t="shared" si="8"/>
        <v>12M ECL</v>
      </c>
    </row>
    <row r="133" spans="1:9">
      <c r="A133" t="str">
        <f>'02_Loan_Portfolio'!A133</f>
        <v>LN00132</v>
      </c>
      <c r="B133">
        <f>'02_Loan_Portfolio'!Q133</f>
        <v>1</v>
      </c>
      <c r="C133">
        <f>'02_Loan_Portfolio'!N133</f>
        <v>0.12</v>
      </c>
      <c r="D133">
        <f>'02_Loan_Portfolio'!R133</f>
        <v>0.18</v>
      </c>
      <c r="E133">
        <f>'02_Loan_Portfolio'!O133</f>
        <v>0.24987599999999999</v>
      </c>
      <c r="F133">
        <f>'02_Loan_Portfolio'!P133</f>
        <v>3071809760948</v>
      </c>
      <c r="G133">
        <f t="shared" si="6"/>
        <v>0.12</v>
      </c>
      <c r="H133">
        <f t="shared" si="7"/>
        <v>92108584299.197083</v>
      </c>
      <c r="I133" t="str">
        <f t="shared" si="8"/>
        <v>12M ECL</v>
      </c>
    </row>
    <row r="134" spans="1:9">
      <c r="A134" t="str">
        <f>'02_Loan_Portfolio'!A134</f>
        <v>LN00133</v>
      </c>
      <c r="B134">
        <f>'02_Loan_Portfolio'!Q134</f>
        <v>1</v>
      </c>
      <c r="C134">
        <f>'02_Loan_Portfolio'!N134</f>
        <v>1.4699E-2</v>
      </c>
      <c r="D134">
        <f>'02_Loan_Portfolio'!R134</f>
        <v>2.2048999999999999E-2</v>
      </c>
      <c r="E134">
        <f>'02_Loan_Portfolio'!O134</f>
        <v>0.52519099999999996</v>
      </c>
      <c r="F134">
        <f>'02_Loan_Portfolio'!P134</f>
        <v>487462308419</v>
      </c>
      <c r="G134">
        <f t="shared" si="6"/>
        <v>1.4699E-2</v>
      </c>
      <c r="H134">
        <f t="shared" si="7"/>
        <v>3763103002.3297596</v>
      </c>
      <c r="I134" t="str">
        <f t="shared" si="8"/>
        <v>12M ECL</v>
      </c>
    </row>
    <row r="135" spans="1:9">
      <c r="A135" t="str">
        <f>'02_Loan_Portfolio'!A135</f>
        <v>LN00134</v>
      </c>
      <c r="B135">
        <f>'02_Loan_Portfolio'!Q135</f>
        <v>2</v>
      </c>
      <c r="C135">
        <f>'02_Loan_Portfolio'!N135</f>
        <v>4.6350000000000002E-3</v>
      </c>
      <c r="D135">
        <f>'02_Loan_Portfolio'!R135</f>
        <v>1.3904E-2</v>
      </c>
      <c r="E135">
        <f>'02_Loan_Portfolio'!O135</f>
        <v>0.44249899999999998</v>
      </c>
      <c r="F135">
        <f>'02_Loan_Portfolio'!P135</f>
        <v>1844720395419</v>
      </c>
      <c r="G135">
        <f t="shared" si="6"/>
        <v>1.3904E-2</v>
      </c>
      <c r="H135">
        <f t="shared" si="7"/>
        <v>11349653478.230928</v>
      </c>
      <c r="I135" t="str">
        <f t="shared" si="8"/>
        <v>Lifetime ECL</v>
      </c>
    </row>
    <row r="136" spans="1:9">
      <c r="A136" t="str">
        <f>'02_Loan_Portfolio'!A136</f>
        <v>LN00135</v>
      </c>
      <c r="B136">
        <f>'02_Loan_Portfolio'!Q136</f>
        <v>1</v>
      </c>
      <c r="C136">
        <f>'02_Loan_Portfolio'!N136</f>
        <v>5.5E-2</v>
      </c>
      <c r="D136">
        <f>'02_Loan_Portfolio'!R136</f>
        <v>8.2500000000000004E-2</v>
      </c>
      <c r="E136">
        <f>'02_Loan_Portfolio'!O136</f>
        <v>0.60411400000000004</v>
      </c>
      <c r="F136">
        <f>'02_Loan_Portfolio'!P136</f>
        <v>2126861706843</v>
      </c>
      <c r="G136">
        <f t="shared" si="6"/>
        <v>5.5E-2</v>
      </c>
      <c r="H136">
        <f t="shared" si="7"/>
        <v>70667681324.226364</v>
      </c>
      <c r="I136" t="str">
        <f t="shared" si="8"/>
        <v>12M ECL</v>
      </c>
    </row>
    <row r="137" spans="1:9">
      <c r="A137" t="str">
        <f>'02_Loan_Portfolio'!A137</f>
        <v>LN00136</v>
      </c>
      <c r="B137">
        <f>'02_Loan_Portfolio'!Q137</f>
        <v>1</v>
      </c>
      <c r="C137">
        <f>'02_Loan_Portfolio'!N137</f>
        <v>5.5E-2</v>
      </c>
      <c r="D137">
        <f>'02_Loan_Portfolio'!R137</f>
        <v>8.2500000000000004E-2</v>
      </c>
      <c r="E137">
        <f>'02_Loan_Portfolio'!O137</f>
        <v>0.45258799999999999</v>
      </c>
      <c r="F137">
        <f>'02_Loan_Portfolio'!P137</f>
        <v>1415266911583</v>
      </c>
      <c r="G137">
        <f t="shared" si="6"/>
        <v>5.5E-2</v>
      </c>
      <c r="H137">
        <f t="shared" si="7"/>
        <v>35229305153.87397</v>
      </c>
      <c r="I137" t="str">
        <f t="shared" si="8"/>
        <v>12M ECL</v>
      </c>
    </row>
    <row r="138" spans="1:9">
      <c r="A138" t="str">
        <f>'02_Loan_Portfolio'!A138</f>
        <v>LN00137</v>
      </c>
      <c r="B138">
        <f>'02_Loan_Portfolio'!Q138</f>
        <v>1</v>
      </c>
      <c r="C138">
        <f>'02_Loan_Portfolio'!N138</f>
        <v>0.12</v>
      </c>
      <c r="D138">
        <f>'02_Loan_Portfolio'!R138</f>
        <v>0.18</v>
      </c>
      <c r="E138">
        <f>'02_Loan_Portfolio'!O138</f>
        <v>0.49224000000000001</v>
      </c>
      <c r="F138">
        <f>'02_Loan_Portfolio'!P138</f>
        <v>1023612460937</v>
      </c>
      <c r="G138">
        <f t="shared" si="6"/>
        <v>0.12</v>
      </c>
      <c r="H138">
        <f t="shared" si="7"/>
        <v>60463559732.595467</v>
      </c>
      <c r="I138" t="str">
        <f t="shared" si="8"/>
        <v>12M ECL</v>
      </c>
    </row>
    <row r="139" spans="1:9">
      <c r="A139" t="str">
        <f>'02_Loan_Portfolio'!A139</f>
        <v>LN00138</v>
      </c>
      <c r="B139">
        <f>'02_Loan_Portfolio'!Q139</f>
        <v>1</v>
      </c>
      <c r="C139">
        <f>'02_Loan_Portfolio'!N139</f>
        <v>5.8130000000000001E-2</v>
      </c>
      <c r="D139">
        <f>'02_Loan_Portfolio'!R139</f>
        <v>8.7194999999999995E-2</v>
      </c>
      <c r="E139">
        <f>'02_Loan_Portfolio'!O139</f>
        <v>0.78212199999999998</v>
      </c>
      <c r="F139">
        <f>'02_Loan_Portfolio'!P139</f>
        <v>2496527692882</v>
      </c>
      <c r="G139">
        <f t="shared" si="6"/>
        <v>5.8130000000000001E-2</v>
      </c>
      <c r="H139">
        <f t="shared" si="7"/>
        <v>113504012068.49841</v>
      </c>
      <c r="I139" t="str">
        <f t="shared" si="8"/>
        <v>12M ECL</v>
      </c>
    </row>
    <row r="140" spans="1:9">
      <c r="A140" t="str">
        <f>'02_Loan_Portfolio'!A140</f>
        <v>LN00139</v>
      </c>
      <c r="B140">
        <f>'02_Loan_Portfolio'!Q140</f>
        <v>1</v>
      </c>
      <c r="C140">
        <f>'02_Loan_Portfolio'!N140</f>
        <v>5.4169999999999999E-3</v>
      </c>
      <c r="D140">
        <f>'02_Loan_Portfolio'!R140</f>
        <v>8.1250000000000003E-3</v>
      </c>
      <c r="E140">
        <f>'02_Loan_Portfolio'!O140</f>
        <v>0.52712899999999996</v>
      </c>
      <c r="F140">
        <f>'02_Loan_Portfolio'!P140</f>
        <v>3153814575518</v>
      </c>
      <c r="G140">
        <f t="shared" si="6"/>
        <v>5.4169999999999999E-3</v>
      </c>
      <c r="H140">
        <f t="shared" si="7"/>
        <v>9005584407.339859</v>
      </c>
      <c r="I140" t="str">
        <f t="shared" si="8"/>
        <v>12M ECL</v>
      </c>
    </row>
    <row r="141" spans="1:9">
      <c r="A141" t="str">
        <f>'02_Loan_Portfolio'!A141</f>
        <v>LN00140</v>
      </c>
      <c r="B141">
        <f>'02_Loan_Portfolio'!Q141</f>
        <v>1</v>
      </c>
      <c r="C141">
        <f>'02_Loan_Portfolio'!N141</f>
        <v>5.7053E-2</v>
      </c>
      <c r="D141">
        <f>'02_Loan_Portfolio'!R141</f>
        <v>8.5579000000000002E-2</v>
      </c>
      <c r="E141">
        <f>'02_Loan_Portfolio'!O141</f>
        <v>0.60547200000000001</v>
      </c>
      <c r="F141">
        <f>'02_Loan_Portfolio'!P141</f>
        <v>3041284274495</v>
      </c>
      <c r="G141">
        <f t="shared" si="6"/>
        <v>5.7053E-2</v>
      </c>
      <c r="H141">
        <f t="shared" si="7"/>
        <v>105058105779.11018</v>
      </c>
      <c r="I141" t="str">
        <f t="shared" si="8"/>
        <v>12M ECL</v>
      </c>
    </row>
    <row r="142" spans="1:9">
      <c r="A142" t="str">
        <f>'02_Loan_Portfolio'!A142</f>
        <v>LN00141</v>
      </c>
      <c r="B142">
        <f>'02_Loan_Portfolio'!Q142</f>
        <v>1</v>
      </c>
      <c r="C142">
        <f>'02_Loan_Portfolio'!N142</f>
        <v>7.4999999999999997E-3</v>
      </c>
      <c r="D142">
        <f>'02_Loan_Portfolio'!R142</f>
        <v>1.125E-2</v>
      </c>
      <c r="E142">
        <f>'02_Loan_Portfolio'!O142</f>
        <v>0.49772</v>
      </c>
      <c r="F142">
        <f>'02_Loan_Portfolio'!P142</f>
        <v>2731781412185</v>
      </c>
      <c r="G142">
        <f t="shared" si="6"/>
        <v>7.4999999999999997E-3</v>
      </c>
      <c r="H142">
        <f t="shared" si="7"/>
        <v>10197466833.545387</v>
      </c>
      <c r="I142" t="str">
        <f t="shared" si="8"/>
        <v>12M ECL</v>
      </c>
    </row>
    <row r="143" spans="1:9">
      <c r="A143" t="str">
        <f>'02_Loan_Portfolio'!A143</f>
        <v>LN00142</v>
      </c>
      <c r="B143">
        <f>'02_Loan_Portfolio'!Q143</f>
        <v>1</v>
      </c>
      <c r="C143">
        <f>'02_Loan_Portfolio'!N143</f>
        <v>0.120503</v>
      </c>
      <c r="D143">
        <f>'02_Loan_Portfolio'!R143</f>
        <v>0.180754</v>
      </c>
      <c r="E143">
        <f>'02_Loan_Portfolio'!O143</f>
        <v>0.44526399999999999</v>
      </c>
      <c r="F143">
        <f>'02_Loan_Portfolio'!P143</f>
        <v>1015590530160</v>
      </c>
      <c r="G143">
        <f t="shared" si="6"/>
        <v>0.120503</v>
      </c>
      <c r="H143">
        <f t="shared" si="7"/>
        <v>54492167787.155518</v>
      </c>
      <c r="I143" t="str">
        <f t="shared" si="8"/>
        <v>12M ECL</v>
      </c>
    </row>
    <row r="144" spans="1:9">
      <c r="A144" t="str">
        <f>'02_Loan_Portfolio'!A144</f>
        <v>LN00143</v>
      </c>
      <c r="B144">
        <f>'02_Loan_Portfolio'!Q144</f>
        <v>2</v>
      </c>
      <c r="C144">
        <f>'02_Loan_Portfolio'!N144</f>
        <v>4.3749999999999997E-2</v>
      </c>
      <c r="D144">
        <f>'02_Loan_Portfolio'!R144</f>
        <v>0.13125000000000001</v>
      </c>
      <c r="E144">
        <f>'02_Loan_Portfolio'!O144</f>
        <v>0.391407</v>
      </c>
      <c r="F144">
        <f>'02_Loan_Portfolio'!P144</f>
        <v>2830948808478</v>
      </c>
      <c r="G144">
        <f t="shared" si="6"/>
        <v>0.13125000000000001</v>
      </c>
      <c r="H144">
        <f t="shared" si="7"/>
        <v>145431979911.74326</v>
      </c>
      <c r="I144" t="str">
        <f t="shared" si="8"/>
        <v>Lifetime ECL</v>
      </c>
    </row>
    <row r="145" spans="1:9">
      <c r="A145" t="str">
        <f>'02_Loan_Portfolio'!A145</f>
        <v>LN00144</v>
      </c>
      <c r="B145">
        <f>'02_Loan_Portfolio'!Q145</f>
        <v>1</v>
      </c>
      <c r="C145">
        <f>'02_Loan_Portfolio'!N145</f>
        <v>6.1955999999999997E-2</v>
      </c>
      <c r="D145">
        <f>'02_Loan_Portfolio'!R145</f>
        <v>9.2934000000000003E-2</v>
      </c>
      <c r="E145">
        <f>'02_Loan_Portfolio'!O145</f>
        <v>0.46827000000000002</v>
      </c>
      <c r="F145">
        <f>'02_Loan_Portfolio'!P145</f>
        <v>1269814638383</v>
      </c>
      <c r="G145">
        <f t="shared" si="6"/>
        <v>6.1955999999999997E-2</v>
      </c>
      <c r="H145">
        <f t="shared" si="7"/>
        <v>36840035135.936172</v>
      </c>
      <c r="I145" t="str">
        <f t="shared" si="8"/>
        <v>12M ECL</v>
      </c>
    </row>
    <row r="146" spans="1:9">
      <c r="A146" t="str">
        <f>'02_Loan_Portfolio'!A146</f>
        <v>LN00145</v>
      </c>
      <c r="B146">
        <f>'02_Loan_Portfolio'!Q146</f>
        <v>2</v>
      </c>
      <c r="C146">
        <f>'02_Loan_Portfolio'!N146</f>
        <v>0.59804199999999996</v>
      </c>
      <c r="D146">
        <f>'02_Loan_Portfolio'!R146</f>
        <v>0.99</v>
      </c>
      <c r="E146">
        <f>'02_Loan_Portfolio'!O146</f>
        <v>0.50508699999999995</v>
      </c>
      <c r="F146">
        <f>'02_Loan_Portfolio'!P146</f>
        <v>3307472330312</v>
      </c>
      <c r="G146">
        <f t="shared" si="6"/>
        <v>0.99</v>
      </c>
      <c r="H146">
        <f t="shared" si="7"/>
        <v>1653855664131.2939</v>
      </c>
      <c r="I146" t="str">
        <f t="shared" si="8"/>
        <v>Lifetime ECL</v>
      </c>
    </row>
    <row r="147" spans="1:9">
      <c r="A147" t="str">
        <f>'02_Loan_Portfolio'!A147</f>
        <v>LN00146</v>
      </c>
      <c r="B147">
        <f>'02_Loan_Portfolio'!Q147</f>
        <v>1</v>
      </c>
      <c r="C147">
        <f>'02_Loan_Portfolio'!N147</f>
        <v>7.1700000000000002E-3</v>
      </c>
      <c r="D147">
        <f>'02_Loan_Portfolio'!R147</f>
        <v>1.0755000000000001E-2</v>
      </c>
      <c r="E147">
        <f>'02_Loan_Portfolio'!O147</f>
        <v>0.66787200000000002</v>
      </c>
      <c r="F147">
        <f>'02_Loan_Portfolio'!P147</f>
        <v>251592871940</v>
      </c>
      <c r="G147">
        <f t="shared" si="6"/>
        <v>7.1700000000000002E-3</v>
      </c>
      <c r="H147">
        <f t="shared" si="7"/>
        <v>1204788253.8547947</v>
      </c>
      <c r="I147" t="str">
        <f t="shared" si="8"/>
        <v>12M ECL</v>
      </c>
    </row>
    <row r="148" spans="1:9">
      <c r="A148" t="str">
        <f>'02_Loan_Portfolio'!A148</f>
        <v>LN00147</v>
      </c>
      <c r="B148">
        <f>'02_Loan_Portfolio'!Q148</f>
        <v>1</v>
      </c>
      <c r="C148">
        <f>'02_Loan_Portfolio'!N148</f>
        <v>7.1027000000000007E-2</v>
      </c>
      <c r="D148">
        <f>'02_Loan_Portfolio'!R148</f>
        <v>0.106541</v>
      </c>
      <c r="E148">
        <f>'02_Loan_Portfolio'!O148</f>
        <v>0.67690799999999995</v>
      </c>
      <c r="F148">
        <f>'02_Loan_Portfolio'!P148</f>
        <v>2010618942636</v>
      </c>
      <c r="G148">
        <f t="shared" si="6"/>
        <v>7.1027000000000007E-2</v>
      </c>
      <c r="H148">
        <f t="shared" si="7"/>
        <v>96668034462.026306</v>
      </c>
      <c r="I148" t="str">
        <f t="shared" si="8"/>
        <v>12M ECL</v>
      </c>
    </row>
    <row r="149" spans="1:9">
      <c r="A149" t="str">
        <f>'02_Loan_Portfolio'!A149</f>
        <v>LN00148</v>
      </c>
      <c r="B149">
        <f>'02_Loan_Portfolio'!Q149</f>
        <v>1</v>
      </c>
      <c r="C149">
        <f>'02_Loan_Portfolio'!N149</f>
        <v>0.12</v>
      </c>
      <c r="D149">
        <f>'02_Loan_Portfolio'!R149</f>
        <v>0.18</v>
      </c>
      <c r="E149">
        <f>'02_Loan_Portfolio'!O149</f>
        <v>0.53468800000000005</v>
      </c>
      <c r="F149">
        <f>'02_Loan_Portfolio'!P149</f>
        <v>2780695676524</v>
      </c>
      <c r="G149">
        <f t="shared" si="6"/>
        <v>0.12</v>
      </c>
      <c r="H149">
        <f t="shared" si="7"/>
        <v>178416553186.71176</v>
      </c>
      <c r="I149" t="str">
        <f t="shared" si="8"/>
        <v>12M ECL</v>
      </c>
    </row>
    <row r="150" spans="1:9">
      <c r="A150" t="str">
        <f>'02_Loan_Portfolio'!A150</f>
        <v>LN00149</v>
      </c>
      <c r="B150">
        <f>'02_Loan_Portfolio'!Q150</f>
        <v>1</v>
      </c>
      <c r="C150">
        <f>'02_Loan_Portfolio'!N150</f>
        <v>7.1264999999999995E-2</v>
      </c>
      <c r="D150">
        <f>'02_Loan_Portfolio'!R150</f>
        <v>0.10689700000000001</v>
      </c>
      <c r="E150">
        <f>'02_Loan_Portfolio'!O150</f>
        <v>0.68305400000000005</v>
      </c>
      <c r="F150">
        <f>'02_Loan_Portfolio'!P150</f>
        <v>133204741917</v>
      </c>
      <c r="G150">
        <f t="shared" si="6"/>
        <v>7.1264999999999995E-2</v>
      </c>
      <c r="H150">
        <f t="shared" si="7"/>
        <v>6484119555.1847153</v>
      </c>
      <c r="I150" t="str">
        <f t="shared" si="8"/>
        <v>12M ECL</v>
      </c>
    </row>
    <row r="151" spans="1:9">
      <c r="A151" t="str">
        <f>'02_Loan_Portfolio'!A151</f>
        <v>LN00150</v>
      </c>
      <c r="B151">
        <f>'02_Loan_Portfolio'!Q151</f>
        <v>1</v>
      </c>
      <c r="C151">
        <f>'02_Loan_Portfolio'!N151</f>
        <v>0.125165</v>
      </c>
      <c r="D151">
        <f>'02_Loan_Portfolio'!R151</f>
        <v>0.187748</v>
      </c>
      <c r="E151">
        <f>'02_Loan_Portfolio'!O151</f>
        <v>0.820052</v>
      </c>
      <c r="F151">
        <f>'02_Loan_Portfolio'!P151</f>
        <v>2521825690275</v>
      </c>
      <c r="G151">
        <f t="shared" si="6"/>
        <v>0.125165</v>
      </c>
      <c r="H151">
        <f t="shared" si="7"/>
        <v>258844749773.33292</v>
      </c>
      <c r="I151" t="str">
        <f t="shared" si="8"/>
        <v>12M ECL</v>
      </c>
    </row>
    <row r="152" spans="1:9">
      <c r="A152" t="str">
        <f>'02_Loan_Portfolio'!A152</f>
        <v>LN00151</v>
      </c>
      <c r="B152">
        <f>'02_Loan_Portfolio'!Q152</f>
        <v>1</v>
      </c>
      <c r="C152">
        <f>'02_Loan_Portfolio'!N152</f>
        <v>0.35</v>
      </c>
      <c r="D152">
        <f>'02_Loan_Portfolio'!R152</f>
        <v>0.52500000000000002</v>
      </c>
      <c r="E152">
        <f>'02_Loan_Portfolio'!O152</f>
        <v>0.72001999999999999</v>
      </c>
      <c r="F152">
        <f>'02_Loan_Portfolio'!P152</f>
        <v>1906033499938</v>
      </c>
      <c r="G152">
        <f t="shared" si="6"/>
        <v>0.35</v>
      </c>
      <c r="H152">
        <f t="shared" si="7"/>
        <v>480333784218.87555</v>
      </c>
      <c r="I152" t="str">
        <f t="shared" si="8"/>
        <v>12M ECL</v>
      </c>
    </row>
    <row r="153" spans="1:9">
      <c r="A153" t="str">
        <f>'02_Loan_Portfolio'!A153</f>
        <v>LN00152</v>
      </c>
      <c r="B153">
        <f>'02_Loan_Portfolio'!Q153</f>
        <v>1</v>
      </c>
      <c r="C153">
        <f>'02_Loan_Portfolio'!N153</f>
        <v>8.3393999999999996E-2</v>
      </c>
      <c r="D153">
        <f>'02_Loan_Portfolio'!R153</f>
        <v>0.12509100000000001</v>
      </c>
      <c r="E153">
        <f>'02_Loan_Portfolio'!O153</f>
        <v>0.46921099999999999</v>
      </c>
      <c r="F153">
        <f>'02_Loan_Portfolio'!P153</f>
        <v>1095715289328</v>
      </c>
      <c r="G153">
        <f t="shared" si="6"/>
        <v>8.3393999999999996E-2</v>
      </c>
      <c r="H153">
        <f t="shared" si="7"/>
        <v>42874662266.181679</v>
      </c>
      <c r="I153" t="str">
        <f t="shared" si="8"/>
        <v>12M ECL</v>
      </c>
    </row>
    <row r="154" spans="1:9">
      <c r="A154" t="str">
        <f>'02_Loan_Portfolio'!A154</f>
        <v>LN00153</v>
      </c>
      <c r="B154">
        <f>'02_Loan_Portfolio'!Q154</f>
        <v>1</v>
      </c>
      <c r="C154">
        <f>'02_Loan_Portfolio'!N154</f>
        <v>3.125E-2</v>
      </c>
      <c r="D154">
        <f>'02_Loan_Portfolio'!R154</f>
        <v>4.6875E-2</v>
      </c>
      <c r="E154">
        <f>'02_Loan_Portfolio'!O154</f>
        <v>0.53172900000000001</v>
      </c>
      <c r="F154">
        <f>'02_Loan_Portfolio'!P154</f>
        <v>936800525128</v>
      </c>
      <c r="G154">
        <f t="shared" si="6"/>
        <v>3.125E-2</v>
      </c>
      <c r="H154">
        <f t="shared" si="7"/>
        <v>15566375200.805822</v>
      </c>
      <c r="I154" t="str">
        <f t="shared" si="8"/>
        <v>12M ECL</v>
      </c>
    </row>
    <row r="155" spans="1:9">
      <c r="A155" t="str">
        <f>'02_Loan_Portfolio'!A155</f>
        <v>LN00154</v>
      </c>
      <c r="B155">
        <f>'02_Loan_Portfolio'!Q155</f>
        <v>1</v>
      </c>
      <c r="C155">
        <f>'02_Loan_Portfolio'!N155</f>
        <v>2.7822E-2</v>
      </c>
      <c r="D155">
        <f>'02_Loan_Portfolio'!R155</f>
        <v>4.1732999999999999E-2</v>
      </c>
      <c r="E155">
        <f>'02_Loan_Portfolio'!O155</f>
        <v>0.51931099999999997</v>
      </c>
      <c r="F155">
        <f>'02_Loan_Portfolio'!P155</f>
        <v>1941103327579</v>
      </c>
      <c r="G155">
        <f t="shared" si="6"/>
        <v>2.7822E-2</v>
      </c>
      <c r="H155">
        <f t="shared" si="7"/>
        <v>28045586220.948174</v>
      </c>
      <c r="I155" t="str">
        <f t="shared" si="8"/>
        <v>12M ECL</v>
      </c>
    </row>
    <row r="156" spans="1:9">
      <c r="A156" t="str">
        <f>'02_Loan_Portfolio'!A156</f>
        <v>LN00155</v>
      </c>
      <c r="B156">
        <f>'02_Loan_Portfolio'!Q156</f>
        <v>1</v>
      </c>
      <c r="C156">
        <f>'02_Loan_Portfolio'!N156</f>
        <v>1.5847E-2</v>
      </c>
      <c r="D156">
        <f>'02_Loan_Portfolio'!R156</f>
        <v>2.3769999999999999E-2</v>
      </c>
      <c r="E156">
        <f>'02_Loan_Portfolio'!O156</f>
        <v>0.52507000000000004</v>
      </c>
      <c r="F156">
        <f>'02_Loan_Portfolio'!P156</f>
        <v>57121921015</v>
      </c>
      <c r="G156">
        <f t="shared" si="6"/>
        <v>1.5847E-2</v>
      </c>
      <c r="H156">
        <f t="shared" si="7"/>
        <v>475299182.99623293</v>
      </c>
      <c r="I156" t="str">
        <f t="shared" si="8"/>
        <v>12M ECL</v>
      </c>
    </row>
    <row r="157" spans="1:9">
      <c r="A157" t="str">
        <f>'02_Loan_Portfolio'!A157</f>
        <v>LN00156</v>
      </c>
      <c r="B157">
        <f>'02_Loan_Portfolio'!Q157</f>
        <v>1</v>
      </c>
      <c r="C157">
        <f>'02_Loan_Portfolio'!N157</f>
        <v>2.5000000000000001E-2</v>
      </c>
      <c r="D157">
        <f>'02_Loan_Portfolio'!R157</f>
        <v>3.7499999999999999E-2</v>
      </c>
      <c r="E157">
        <f>'02_Loan_Portfolio'!O157</f>
        <v>0.53503299999999998</v>
      </c>
      <c r="F157">
        <f>'02_Loan_Portfolio'!P157</f>
        <v>1819127030248</v>
      </c>
      <c r="G157">
        <f t="shared" si="6"/>
        <v>2.5000000000000001E-2</v>
      </c>
      <c r="H157">
        <f t="shared" si="7"/>
        <v>24332324809.366955</v>
      </c>
      <c r="I157" t="str">
        <f t="shared" si="8"/>
        <v>12M ECL</v>
      </c>
    </row>
    <row r="158" spans="1:9">
      <c r="A158" t="str">
        <f>'02_Loan_Portfolio'!A158</f>
        <v>LN00157</v>
      </c>
      <c r="B158">
        <f>'02_Loan_Portfolio'!Q158</f>
        <v>2</v>
      </c>
      <c r="C158">
        <f>'02_Loan_Portfolio'!N158</f>
        <v>3.3140000000000001E-3</v>
      </c>
      <c r="D158">
        <f>'02_Loan_Portfolio'!R158</f>
        <v>9.9430000000000004E-3</v>
      </c>
      <c r="E158">
        <f>'02_Loan_Portfolio'!O158</f>
        <v>0.36721300000000001</v>
      </c>
      <c r="F158">
        <f>'02_Loan_Portfolio'!P158</f>
        <v>1783495202991</v>
      </c>
      <c r="G158">
        <f t="shared" si="6"/>
        <v>9.9430000000000004E-3</v>
      </c>
      <c r="H158">
        <f t="shared" si="7"/>
        <v>6511895650.1927128</v>
      </c>
      <c r="I158" t="str">
        <f t="shared" si="8"/>
        <v>Lifetime ECL</v>
      </c>
    </row>
    <row r="159" spans="1:9">
      <c r="A159" t="str">
        <f>'02_Loan_Portfolio'!A159</f>
        <v>LN00158</v>
      </c>
      <c r="B159">
        <f>'02_Loan_Portfolio'!Q159</f>
        <v>1</v>
      </c>
      <c r="C159">
        <f>'02_Loan_Portfolio'!N159</f>
        <v>0.28000000000000003</v>
      </c>
      <c r="D159">
        <f>'02_Loan_Portfolio'!R159</f>
        <v>0.42</v>
      </c>
      <c r="E159">
        <f>'02_Loan_Portfolio'!O159</f>
        <v>0.741394</v>
      </c>
      <c r="F159">
        <f>'02_Loan_Portfolio'!P159</f>
        <v>2823261134535</v>
      </c>
      <c r="G159">
        <f t="shared" si="6"/>
        <v>0.28000000000000003</v>
      </c>
      <c r="H159">
        <f t="shared" si="7"/>
        <v>586081682361.68372</v>
      </c>
      <c r="I159" t="str">
        <f t="shared" si="8"/>
        <v>12M ECL</v>
      </c>
    </row>
    <row r="160" spans="1:9">
      <c r="A160" t="str">
        <f>'02_Loan_Portfolio'!A160</f>
        <v>LN00159</v>
      </c>
      <c r="B160">
        <f>'02_Loan_Portfolio'!Q160</f>
        <v>1</v>
      </c>
      <c r="C160">
        <f>'02_Loan_Portfolio'!N160</f>
        <v>1.3661E-2</v>
      </c>
      <c r="D160">
        <f>'02_Loan_Portfolio'!R160</f>
        <v>2.0492E-2</v>
      </c>
      <c r="E160">
        <f>'02_Loan_Portfolio'!O160</f>
        <v>0.77888800000000002</v>
      </c>
      <c r="F160">
        <f>'02_Loan_Portfolio'!P160</f>
        <v>2213139537194</v>
      </c>
      <c r="G160">
        <f t="shared" si="6"/>
        <v>1.3661E-2</v>
      </c>
      <c r="H160">
        <f t="shared" si="7"/>
        <v>23548665516.203663</v>
      </c>
      <c r="I160" t="str">
        <f t="shared" si="8"/>
        <v>12M ECL</v>
      </c>
    </row>
    <row r="161" spans="1:9">
      <c r="A161" t="str">
        <f>'02_Loan_Portfolio'!A161</f>
        <v>LN00160</v>
      </c>
      <c r="B161">
        <f>'02_Loan_Portfolio'!Q161</f>
        <v>1</v>
      </c>
      <c r="C161">
        <f>'02_Loan_Portfolio'!N161</f>
        <v>1.3553000000000001E-2</v>
      </c>
      <c r="D161">
        <f>'02_Loan_Portfolio'!R161</f>
        <v>2.0330000000000001E-2</v>
      </c>
      <c r="E161">
        <f>'02_Loan_Portfolio'!O161</f>
        <v>0.375664</v>
      </c>
      <c r="F161">
        <f>'02_Loan_Portfolio'!P161</f>
        <v>2456559443022</v>
      </c>
      <c r="G161">
        <f t="shared" si="6"/>
        <v>1.3553000000000001E-2</v>
      </c>
      <c r="H161">
        <f t="shared" si="7"/>
        <v>12507263349.316105</v>
      </c>
      <c r="I161" t="str">
        <f t="shared" si="8"/>
        <v>12M ECL</v>
      </c>
    </row>
    <row r="162" spans="1:9">
      <c r="A162" t="str">
        <f>'02_Loan_Portfolio'!A162</f>
        <v>LN00161</v>
      </c>
      <c r="B162">
        <f>'02_Loan_Portfolio'!Q162</f>
        <v>1</v>
      </c>
      <c r="C162">
        <f>'02_Loan_Portfolio'!N162</f>
        <v>0.15</v>
      </c>
      <c r="D162">
        <f>'02_Loan_Portfolio'!R162</f>
        <v>0.22500000000000001</v>
      </c>
      <c r="E162">
        <f>'02_Loan_Portfolio'!O162</f>
        <v>0.44154399999999999</v>
      </c>
      <c r="F162">
        <f>'02_Loan_Portfolio'!P162</f>
        <v>511146866152</v>
      </c>
      <c r="G162">
        <f t="shared" si="6"/>
        <v>0.15</v>
      </c>
      <c r="H162">
        <f t="shared" si="7"/>
        <v>33854074780.232803</v>
      </c>
      <c r="I162" t="str">
        <f t="shared" si="8"/>
        <v>12M ECL</v>
      </c>
    </row>
    <row r="163" spans="1:9">
      <c r="A163" t="str">
        <f>'02_Loan_Portfolio'!A163</f>
        <v>LN00162</v>
      </c>
      <c r="B163">
        <f>'02_Loan_Portfolio'!Q163</f>
        <v>1</v>
      </c>
      <c r="C163">
        <f>'02_Loan_Portfolio'!N163</f>
        <v>2.1670000000000001E-3</v>
      </c>
      <c r="D163">
        <f>'02_Loan_Portfolio'!R163</f>
        <v>3.2499999999999999E-3</v>
      </c>
      <c r="E163">
        <f>'02_Loan_Portfolio'!O163</f>
        <v>0.73667300000000002</v>
      </c>
      <c r="F163">
        <f>'02_Loan_Portfolio'!P163</f>
        <v>2339532920566</v>
      </c>
      <c r="G163">
        <f t="shared" si="6"/>
        <v>2.1670000000000001E-3</v>
      </c>
      <c r="H163">
        <f t="shared" si="7"/>
        <v>3734761083.1613178</v>
      </c>
      <c r="I163" t="str">
        <f t="shared" si="8"/>
        <v>12M ECL</v>
      </c>
    </row>
    <row r="164" spans="1:9">
      <c r="A164" t="str">
        <f>'02_Loan_Portfolio'!A164</f>
        <v>LN00163</v>
      </c>
      <c r="B164">
        <f>'02_Loan_Portfolio'!Q164</f>
        <v>1</v>
      </c>
      <c r="C164">
        <f>'02_Loan_Portfolio'!N164</f>
        <v>1.4999999999999999E-2</v>
      </c>
      <c r="D164">
        <f>'02_Loan_Portfolio'!R164</f>
        <v>2.2499999999999999E-2</v>
      </c>
      <c r="E164">
        <f>'02_Loan_Portfolio'!O164</f>
        <v>0.46944200000000003</v>
      </c>
      <c r="F164">
        <f>'02_Loan_Portfolio'!P164</f>
        <v>610831765425</v>
      </c>
      <c r="G164">
        <f t="shared" si="6"/>
        <v>1.4999999999999999E-2</v>
      </c>
      <c r="H164">
        <f t="shared" si="7"/>
        <v>4301251284.3696432</v>
      </c>
      <c r="I164" t="str">
        <f t="shared" si="8"/>
        <v>12M ECL</v>
      </c>
    </row>
    <row r="165" spans="1:9">
      <c r="A165" t="str">
        <f>'02_Loan_Portfolio'!A165</f>
        <v>LN00164</v>
      </c>
      <c r="B165">
        <f>'02_Loan_Portfolio'!Q165</f>
        <v>1</v>
      </c>
      <c r="C165">
        <f>'02_Loan_Portfolio'!N165</f>
        <v>5.0000000000000001E-3</v>
      </c>
      <c r="D165">
        <f>'02_Loan_Portfolio'!R165</f>
        <v>7.4999999999999997E-3</v>
      </c>
      <c r="E165">
        <f>'02_Loan_Portfolio'!O165</f>
        <v>0.53893100000000005</v>
      </c>
      <c r="F165">
        <f>'02_Loan_Portfolio'!P165</f>
        <v>2708284110907</v>
      </c>
      <c r="G165">
        <f t="shared" si="6"/>
        <v>5.0000000000000001E-3</v>
      </c>
      <c r="H165">
        <f t="shared" si="7"/>
        <v>7297891320.8761024</v>
      </c>
      <c r="I165" t="str">
        <f t="shared" si="8"/>
        <v>12M ECL</v>
      </c>
    </row>
    <row r="166" spans="1:9">
      <c r="A166" t="str">
        <f>'02_Loan_Portfolio'!A166</f>
        <v>LN00165</v>
      </c>
      <c r="B166">
        <f>'02_Loan_Portfolio'!Q166</f>
        <v>1</v>
      </c>
      <c r="C166">
        <f>'02_Loan_Portfolio'!N166</f>
        <v>0.20145399999999999</v>
      </c>
      <c r="D166">
        <f>'02_Loan_Portfolio'!R166</f>
        <v>0.30218099999999998</v>
      </c>
      <c r="E166">
        <f>'02_Loan_Portfolio'!O166</f>
        <v>0.73601899999999998</v>
      </c>
      <c r="F166">
        <f>'02_Loan_Portfolio'!P166</f>
        <v>1898174955327</v>
      </c>
      <c r="G166">
        <f t="shared" si="6"/>
        <v>0.20145399999999999</v>
      </c>
      <c r="H166">
        <f t="shared" si="7"/>
        <v>281449939467.33936</v>
      </c>
      <c r="I166" t="str">
        <f t="shared" si="8"/>
        <v>12M ECL</v>
      </c>
    </row>
    <row r="167" spans="1:9">
      <c r="A167" t="str">
        <f>'02_Loan_Portfolio'!A167</f>
        <v>LN00166</v>
      </c>
      <c r="B167">
        <f>'02_Loan_Portfolio'!Q167</f>
        <v>1</v>
      </c>
      <c r="C167">
        <f>'02_Loan_Portfolio'!N167</f>
        <v>0.16292899999999999</v>
      </c>
      <c r="D167">
        <f>'02_Loan_Portfolio'!R167</f>
        <v>0.244393</v>
      </c>
      <c r="E167">
        <f>'02_Loan_Portfolio'!O167</f>
        <v>0.54886100000000004</v>
      </c>
      <c r="F167">
        <f>'02_Loan_Portfolio'!P167</f>
        <v>875628492481</v>
      </c>
      <c r="G167">
        <f t="shared" si="6"/>
        <v>0.16292899999999999</v>
      </c>
      <c r="H167">
        <f t="shared" si="7"/>
        <v>78303405310.46228</v>
      </c>
      <c r="I167" t="str">
        <f t="shared" si="8"/>
        <v>12M ECL</v>
      </c>
    </row>
    <row r="168" spans="1:9">
      <c r="A168" t="str">
        <f>'02_Loan_Portfolio'!A168</f>
        <v>LN00167</v>
      </c>
      <c r="B168">
        <f>'02_Loan_Portfolio'!Q168</f>
        <v>1</v>
      </c>
      <c r="C168">
        <f>'02_Loan_Portfolio'!N168</f>
        <v>0.12</v>
      </c>
      <c r="D168">
        <f>'02_Loan_Portfolio'!R168</f>
        <v>0.18</v>
      </c>
      <c r="E168">
        <f>'02_Loan_Portfolio'!O168</f>
        <v>0.82905600000000002</v>
      </c>
      <c r="F168">
        <f>'02_Loan_Portfolio'!P168</f>
        <v>3309911413159</v>
      </c>
      <c r="G168">
        <f t="shared" si="6"/>
        <v>0.12</v>
      </c>
      <c r="H168">
        <f t="shared" si="7"/>
        <v>329292229985.75372</v>
      </c>
      <c r="I168" t="str">
        <f t="shared" si="8"/>
        <v>12M ECL</v>
      </c>
    </row>
    <row r="169" spans="1:9">
      <c r="A169" t="str">
        <f>'02_Loan_Portfolio'!A169</f>
        <v>LN00168</v>
      </c>
      <c r="B169">
        <f>'02_Loan_Portfolio'!Q169</f>
        <v>1</v>
      </c>
      <c r="C169">
        <f>'02_Loan_Portfolio'!N169</f>
        <v>9.2109999999999997E-2</v>
      </c>
      <c r="D169">
        <f>'02_Loan_Portfolio'!R169</f>
        <v>0.13816500000000001</v>
      </c>
      <c r="E169">
        <f>'02_Loan_Portfolio'!O169</f>
        <v>0.78232199999999996</v>
      </c>
      <c r="F169">
        <f>'02_Loan_Portfolio'!P169</f>
        <v>2477973892685</v>
      </c>
      <c r="G169">
        <f t="shared" si="6"/>
        <v>9.2109999999999997E-2</v>
      </c>
      <c r="H169">
        <f t="shared" si="7"/>
        <v>178562004318.01056</v>
      </c>
      <c r="I169" t="str">
        <f t="shared" si="8"/>
        <v>12M ECL</v>
      </c>
    </row>
    <row r="170" spans="1:9">
      <c r="A170" t="str">
        <f>'02_Loan_Portfolio'!A170</f>
        <v>LN00169</v>
      </c>
      <c r="B170">
        <f>'02_Loan_Portfolio'!Q170</f>
        <v>1</v>
      </c>
      <c r="C170">
        <f>'02_Loan_Portfolio'!N170</f>
        <v>2.5000000000000001E-2</v>
      </c>
      <c r="D170">
        <f>'02_Loan_Portfolio'!R170</f>
        <v>3.7499999999999999E-2</v>
      </c>
      <c r="E170">
        <f>'02_Loan_Portfolio'!O170</f>
        <v>0.46572599999999997</v>
      </c>
      <c r="F170">
        <f>'02_Loan_Portfolio'!P170</f>
        <v>1847072057612</v>
      </c>
      <c r="G170">
        <f t="shared" si="6"/>
        <v>2.5000000000000001E-2</v>
      </c>
      <c r="H170">
        <f t="shared" si="7"/>
        <v>21505737027.585155</v>
      </c>
      <c r="I170" t="str">
        <f t="shared" si="8"/>
        <v>12M ECL</v>
      </c>
    </row>
    <row r="171" spans="1:9">
      <c r="A171" t="str">
        <f>'02_Loan_Portfolio'!A171</f>
        <v>LN00170</v>
      </c>
      <c r="B171">
        <f>'02_Loan_Portfolio'!Q171</f>
        <v>1</v>
      </c>
      <c r="C171">
        <f>'02_Loan_Portfolio'!N171</f>
        <v>3.7499999999999999E-2</v>
      </c>
      <c r="D171">
        <f>'02_Loan_Portfolio'!R171</f>
        <v>5.6250000000000001E-2</v>
      </c>
      <c r="E171">
        <f>'02_Loan_Portfolio'!O171</f>
        <v>0.47901300000000002</v>
      </c>
      <c r="F171">
        <f>'02_Loan_Portfolio'!P171</f>
        <v>2627808315434</v>
      </c>
      <c r="G171">
        <f t="shared" si="6"/>
        <v>3.7499999999999999E-2</v>
      </c>
      <c r="H171">
        <f t="shared" si="7"/>
        <v>47203287922.536995</v>
      </c>
      <c r="I171" t="str">
        <f t="shared" si="8"/>
        <v>12M ECL</v>
      </c>
    </row>
    <row r="172" spans="1:9">
      <c r="A172" t="str">
        <f>'02_Loan_Portfolio'!A172</f>
        <v>LN00171</v>
      </c>
      <c r="B172">
        <f>'02_Loan_Portfolio'!Q172</f>
        <v>1</v>
      </c>
      <c r="C172">
        <f>'02_Loan_Portfolio'!N172</f>
        <v>7.1739999999999998E-2</v>
      </c>
      <c r="D172">
        <f>'02_Loan_Portfolio'!R172</f>
        <v>0.107611</v>
      </c>
      <c r="E172">
        <f>'02_Loan_Portfolio'!O172</f>
        <v>0.51746300000000001</v>
      </c>
      <c r="F172">
        <f>'02_Loan_Portfolio'!P172</f>
        <v>476773223506</v>
      </c>
      <c r="G172">
        <f t="shared" si="6"/>
        <v>7.1739999999999998E-2</v>
      </c>
      <c r="H172">
        <f t="shared" si="7"/>
        <v>17699154933.301819</v>
      </c>
      <c r="I172" t="str">
        <f t="shared" si="8"/>
        <v>12M ECL</v>
      </c>
    </row>
    <row r="173" spans="1:9">
      <c r="A173" t="str">
        <f>'02_Loan_Portfolio'!A173</f>
        <v>LN00172</v>
      </c>
      <c r="B173">
        <f>'02_Loan_Portfolio'!Q173</f>
        <v>1</v>
      </c>
      <c r="C173">
        <f>'02_Loan_Portfolio'!N173</f>
        <v>0.13241700000000001</v>
      </c>
      <c r="D173">
        <f>'02_Loan_Portfolio'!R173</f>
        <v>0.198625</v>
      </c>
      <c r="E173">
        <f>'02_Loan_Portfolio'!O173</f>
        <v>0.88641499999999995</v>
      </c>
      <c r="F173">
        <f>'02_Loan_Portfolio'!P173</f>
        <v>2785860682630</v>
      </c>
      <c r="G173">
        <f t="shared" si="6"/>
        <v>0.13241700000000001</v>
      </c>
      <c r="H173">
        <f t="shared" si="7"/>
        <v>326994339769.78455</v>
      </c>
      <c r="I173" t="str">
        <f t="shared" si="8"/>
        <v>12M ECL</v>
      </c>
    </row>
    <row r="174" spans="1:9">
      <c r="A174" t="str">
        <f>'02_Loan_Portfolio'!A174</f>
        <v>LN00173</v>
      </c>
      <c r="B174">
        <f>'02_Loan_Portfolio'!Q174</f>
        <v>2</v>
      </c>
      <c r="C174">
        <f>'02_Loan_Portfolio'!N174</f>
        <v>4.7354E-2</v>
      </c>
      <c r="D174">
        <f>'02_Loan_Portfolio'!R174</f>
        <v>0.14206299999999999</v>
      </c>
      <c r="E174">
        <f>'02_Loan_Portfolio'!O174</f>
        <v>0.53404200000000002</v>
      </c>
      <c r="F174">
        <f>'02_Loan_Portfolio'!P174</f>
        <v>2483111069304</v>
      </c>
      <c r="G174">
        <f t="shared" si="6"/>
        <v>0.14206299999999999</v>
      </c>
      <c r="H174">
        <f t="shared" si="7"/>
        <v>188387698830.50647</v>
      </c>
      <c r="I174" t="str">
        <f t="shared" si="8"/>
        <v>Lifetime ECL</v>
      </c>
    </row>
    <row r="175" spans="1:9">
      <c r="A175" t="str">
        <f>'02_Loan_Portfolio'!A175</f>
        <v>LN00174</v>
      </c>
      <c r="B175">
        <f>'02_Loan_Portfolio'!Q175</f>
        <v>2</v>
      </c>
      <c r="C175">
        <f>'02_Loan_Portfolio'!N175</f>
        <v>8.7082999999999994E-2</v>
      </c>
      <c r="D175">
        <f>'02_Loan_Portfolio'!R175</f>
        <v>0.26124999999999998</v>
      </c>
      <c r="E175">
        <f>'02_Loan_Portfolio'!O175</f>
        <v>0.64054699999999998</v>
      </c>
      <c r="F175">
        <f>'02_Loan_Portfolio'!P175</f>
        <v>1875959635193</v>
      </c>
      <c r="G175">
        <f t="shared" si="6"/>
        <v>0.26124999999999998</v>
      </c>
      <c r="H175">
        <f t="shared" si="7"/>
        <v>313928532670.9873</v>
      </c>
      <c r="I175" t="str">
        <f t="shared" si="8"/>
        <v>Lifetime ECL</v>
      </c>
    </row>
    <row r="176" spans="1:9">
      <c r="A176" t="str">
        <f>'02_Loan_Portfolio'!A176</f>
        <v>LN00175</v>
      </c>
      <c r="B176">
        <f>'02_Loan_Portfolio'!Q176</f>
        <v>2</v>
      </c>
      <c r="C176">
        <f>'02_Loan_Portfolio'!N176</f>
        <v>5.9444999999999998E-2</v>
      </c>
      <c r="D176">
        <f>'02_Loan_Portfolio'!R176</f>
        <v>0.17833399999999999</v>
      </c>
      <c r="E176">
        <f>'02_Loan_Portfolio'!O176</f>
        <v>0.63969699999999996</v>
      </c>
      <c r="F176">
        <f>'02_Loan_Portfolio'!P176</f>
        <v>1482577181370</v>
      </c>
      <c r="G176">
        <f t="shared" si="6"/>
        <v>0.17833399999999999</v>
      </c>
      <c r="H176">
        <f t="shared" si="7"/>
        <v>169131996842.48413</v>
      </c>
      <c r="I176" t="str">
        <f t="shared" si="8"/>
        <v>Lifetime ECL</v>
      </c>
    </row>
    <row r="177" spans="1:9">
      <c r="A177" t="str">
        <f>'02_Loan_Portfolio'!A177</f>
        <v>LN00176</v>
      </c>
      <c r="B177">
        <f>'02_Loan_Portfolio'!Q177</f>
        <v>1</v>
      </c>
      <c r="C177">
        <f>'02_Loan_Portfolio'!N177</f>
        <v>1.8173000000000002E-2</v>
      </c>
      <c r="D177">
        <f>'02_Loan_Portfolio'!R177</f>
        <v>2.7258999999999999E-2</v>
      </c>
      <c r="E177">
        <f>'02_Loan_Portfolio'!O177</f>
        <v>0.46639700000000001</v>
      </c>
      <c r="F177">
        <f>'02_Loan_Portfolio'!P177</f>
        <v>1521444516486</v>
      </c>
      <c r="G177">
        <f t="shared" si="6"/>
        <v>1.8173000000000002E-2</v>
      </c>
      <c r="H177">
        <f t="shared" si="7"/>
        <v>12895509155.160282</v>
      </c>
      <c r="I177" t="str">
        <f t="shared" si="8"/>
        <v>12M ECL</v>
      </c>
    </row>
    <row r="178" spans="1:9">
      <c r="A178" t="str">
        <f>'02_Loan_Portfolio'!A178</f>
        <v>LN00177</v>
      </c>
      <c r="B178">
        <f>'02_Loan_Portfolio'!Q178</f>
        <v>1</v>
      </c>
      <c r="C178">
        <f>'02_Loan_Portfolio'!N178</f>
        <v>1.2999999999999999E-2</v>
      </c>
      <c r="D178">
        <f>'02_Loan_Portfolio'!R178</f>
        <v>1.95E-2</v>
      </c>
      <c r="E178">
        <f>'02_Loan_Portfolio'!O178</f>
        <v>0.46348800000000001</v>
      </c>
      <c r="F178">
        <f>'02_Loan_Portfolio'!P178</f>
        <v>1817875904123</v>
      </c>
      <c r="G178">
        <f t="shared" si="6"/>
        <v>1.2999999999999999E-2</v>
      </c>
      <c r="H178">
        <f t="shared" si="7"/>
        <v>10953327671.652094</v>
      </c>
      <c r="I178" t="str">
        <f t="shared" si="8"/>
        <v>12M ECL</v>
      </c>
    </row>
    <row r="179" spans="1:9">
      <c r="A179" t="str">
        <f>'02_Loan_Portfolio'!A179</f>
        <v>LN00178</v>
      </c>
      <c r="B179">
        <f>'02_Loan_Portfolio'!Q179</f>
        <v>1</v>
      </c>
      <c r="C179">
        <f>'02_Loan_Portfolio'!N179</f>
        <v>2.5412000000000001E-2</v>
      </c>
      <c r="D179">
        <f>'02_Loan_Portfolio'!R179</f>
        <v>3.8119E-2</v>
      </c>
      <c r="E179">
        <f>'02_Loan_Portfolio'!O179</f>
        <v>0.52451899999999996</v>
      </c>
      <c r="F179">
        <f>'02_Loan_Portfolio'!P179</f>
        <v>2149358225659</v>
      </c>
      <c r="G179">
        <f t="shared" si="6"/>
        <v>2.5412000000000001E-2</v>
      </c>
      <c r="H179">
        <f t="shared" si="7"/>
        <v>28648960920.702568</v>
      </c>
      <c r="I179" t="str">
        <f t="shared" si="8"/>
        <v>12M ECL</v>
      </c>
    </row>
    <row r="180" spans="1:9">
      <c r="A180" t="str">
        <f>'02_Loan_Portfolio'!A180</f>
        <v>LN00179</v>
      </c>
      <c r="B180">
        <f>'02_Loan_Portfolio'!Q180</f>
        <v>1</v>
      </c>
      <c r="C180">
        <f>'02_Loan_Portfolio'!N180</f>
        <v>1.9826E-2</v>
      </c>
      <c r="D180">
        <f>'02_Loan_Portfolio'!R180</f>
        <v>2.9739000000000002E-2</v>
      </c>
      <c r="E180">
        <f>'02_Loan_Portfolio'!O180</f>
        <v>0.65481400000000001</v>
      </c>
      <c r="F180">
        <f>'02_Loan_Portfolio'!P180</f>
        <v>304033447353</v>
      </c>
      <c r="G180">
        <f t="shared" si="6"/>
        <v>1.9826E-2</v>
      </c>
      <c r="H180">
        <f t="shared" si="7"/>
        <v>3947066303.6438155</v>
      </c>
      <c r="I180" t="str">
        <f t="shared" si="8"/>
        <v>12M ECL</v>
      </c>
    </row>
    <row r="181" spans="1:9">
      <c r="A181" t="str">
        <f>'02_Loan_Portfolio'!A181</f>
        <v>LN00180</v>
      </c>
      <c r="B181">
        <f>'02_Loan_Portfolio'!Q181</f>
        <v>1</v>
      </c>
      <c r="C181">
        <f>'02_Loan_Portfolio'!N181</f>
        <v>7.1256E-2</v>
      </c>
      <c r="D181">
        <f>'02_Loan_Portfolio'!R181</f>
        <v>0.10688300000000001</v>
      </c>
      <c r="E181">
        <f>'02_Loan_Portfolio'!O181</f>
        <v>0.61299300000000001</v>
      </c>
      <c r="F181">
        <f>'02_Loan_Portfolio'!P181</f>
        <v>1918037676057</v>
      </c>
      <c r="G181">
        <f t="shared" si="6"/>
        <v>7.1256E-2</v>
      </c>
      <c r="H181">
        <f t="shared" si="7"/>
        <v>83778790889.608566</v>
      </c>
      <c r="I181" t="str">
        <f t="shared" si="8"/>
        <v>12M ECL</v>
      </c>
    </row>
    <row r="182" spans="1:9">
      <c r="A182" t="str">
        <f>'02_Loan_Portfolio'!A182</f>
        <v>LN00181</v>
      </c>
      <c r="B182">
        <f>'02_Loan_Portfolio'!Q182</f>
        <v>2</v>
      </c>
      <c r="C182">
        <f>'02_Loan_Portfolio'!N182</f>
        <v>2.5319000000000001E-2</v>
      </c>
      <c r="D182">
        <f>'02_Loan_Portfolio'!R182</f>
        <v>7.5957999999999998E-2</v>
      </c>
      <c r="E182">
        <f>'02_Loan_Portfolio'!O182</f>
        <v>0.54890000000000005</v>
      </c>
      <c r="F182">
        <f>'02_Loan_Portfolio'!P182</f>
        <v>1473688000730</v>
      </c>
      <c r="G182">
        <f t="shared" si="6"/>
        <v>7.5957999999999998E-2</v>
      </c>
      <c r="H182">
        <f t="shared" si="7"/>
        <v>61442984005.221748</v>
      </c>
      <c r="I182" t="str">
        <f t="shared" si="8"/>
        <v>Lifetime ECL</v>
      </c>
    </row>
    <row r="183" spans="1:9">
      <c r="A183" t="str">
        <f>'02_Loan_Portfolio'!A183</f>
        <v>LN00182</v>
      </c>
      <c r="B183">
        <f>'02_Loan_Portfolio'!Q183</f>
        <v>1</v>
      </c>
      <c r="C183">
        <f>'02_Loan_Portfolio'!N183</f>
        <v>5.5E-2</v>
      </c>
      <c r="D183">
        <f>'02_Loan_Portfolio'!R183</f>
        <v>8.2500000000000004E-2</v>
      </c>
      <c r="E183">
        <f>'02_Loan_Portfolio'!O183</f>
        <v>0.49110900000000002</v>
      </c>
      <c r="F183">
        <f>'02_Loan_Portfolio'!P183</f>
        <v>1352968398035</v>
      </c>
      <c r="G183">
        <f t="shared" si="6"/>
        <v>5.5E-2</v>
      </c>
      <c r="H183">
        <f t="shared" si="7"/>
        <v>36545022634.481392</v>
      </c>
      <c r="I183" t="str">
        <f t="shared" si="8"/>
        <v>12M ECL</v>
      </c>
    </row>
    <row r="184" spans="1:9">
      <c r="A184" t="str">
        <f>'02_Loan_Portfolio'!A184</f>
        <v>LN00183</v>
      </c>
      <c r="B184">
        <f>'02_Loan_Portfolio'!Q184</f>
        <v>1</v>
      </c>
      <c r="C184">
        <f>'02_Loan_Portfolio'!N184</f>
        <v>0.42042499999999999</v>
      </c>
      <c r="D184">
        <f>'02_Loan_Portfolio'!R184</f>
        <v>0.63063800000000003</v>
      </c>
      <c r="E184">
        <f>'02_Loan_Portfolio'!O184</f>
        <v>0.34893999999999997</v>
      </c>
      <c r="F184">
        <f>'02_Loan_Portfolio'!P184</f>
        <v>1838460569714</v>
      </c>
      <c r="G184">
        <f t="shared" si="6"/>
        <v>0.42042499999999999</v>
      </c>
      <c r="H184">
        <f t="shared" si="7"/>
        <v>269707863885.57962</v>
      </c>
      <c r="I184" t="str">
        <f t="shared" si="8"/>
        <v>12M ECL</v>
      </c>
    </row>
    <row r="185" spans="1:9">
      <c r="A185" t="str">
        <f>'02_Loan_Portfolio'!A185</f>
        <v>LN00184</v>
      </c>
      <c r="B185">
        <f>'02_Loan_Portfolio'!Q185</f>
        <v>2</v>
      </c>
      <c r="C185">
        <f>'02_Loan_Portfolio'!N185</f>
        <v>3.7499999999999999E-2</v>
      </c>
      <c r="D185">
        <f>'02_Loan_Portfolio'!R185</f>
        <v>0.1125</v>
      </c>
      <c r="E185">
        <f>'02_Loan_Portfolio'!O185</f>
        <v>0.55023999999999995</v>
      </c>
      <c r="F185">
        <f>'02_Loan_Portfolio'!P185</f>
        <v>3266470568642</v>
      </c>
      <c r="G185">
        <f t="shared" si="6"/>
        <v>0.1125</v>
      </c>
      <c r="H185">
        <f t="shared" si="7"/>
        <v>202201061140.07709</v>
      </c>
      <c r="I185" t="str">
        <f t="shared" si="8"/>
        <v>Lifetime ECL</v>
      </c>
    </row>
    <row r="186" spans="1:9">
      <c r="A186" t="str">
        <f>'02_Loan_Portfolio'!A186</f>
        <v>LN00185</v>
      </c>
      <c r="B186">
        <f>'02_Loan_Portfolio'!Q186</f>
        <v>1</v>
      </c>
      <c r="C186">
        <f>'02_Loan_Portfolio'!N186</f>
        <v>2.8570000000000002E-2</v>
      </c>
      <c r="D186">
        <f>'02_Loan_Portfolio'!R186</f>
        <v>4.2854000000000003E-2</v>
      </c>
      <c r="E186">
        <f>'02_Loan_Portfolio'!O186</f>
        <v>0.71978399999999998</v>
      </c>
      <c r="F186">
        <f>'02_Loan_Portfolio'!P186</f>
        <v>3114107992606</v>
      </c>
      <c r="G186">
        <f t="shared" si="6"/>
        <v>2.8570000000000002E-2</v>
      </c>
      <c r="H186">
        <f t="shared" si="7"/>
        <v>64039229516.987129</v>
      </c>
      <c r="I186" t="str">
        <f t="shared" si="8"/>
        <v>12M ECL</v>
      </c>
    </row>
    <row r="187" spans="1:9">
      <c r="A187" t="str">
        <f>'02_Loan_Portfolio'!A187</f>
        <v>LN00186</v>
      </c>
      <c r="B187">
        <f>'02_Loan_Portfolio'!Q187</f>
        <v>1</v>
      </c>
      <c r="C187">
        <f>'02_Loan_Portfolio'!N187</f>
        <v>3.0620000000000001E-3</v>
      </c>
      <c r="D187">
        <f>'02_Loan_Portfolio'!R187</f>
        <v>4.5929999999999999E-3</v>
      </c>
      <c r="E187">
        <f>'02_Loan_Portfolio'!O187</f>
        <v>0.70657700000000001</v>
      </c>
      <c r="F187">
        <f>'02_Loan_Portfolio'!P187</f>
        <v>2689543440067</v>
      </c>
      <c r="G187">
        <f t="shared" si="6"/>
        <v>3.0620000000000001E-3</v>
      </c>
      <c r="H187">
        <f t="shared" si="7"/>
        <v>5818931516.9422998</v>
      </c>
      <c r="I187" t="str">
        <f t="shared" si="8"/>
        <v>12M ECL</v>
      </c>
    </row>
    <row r="188" spans="1:9">
      <c r="A188" t="str">
        <f>'02_Loan_Portfolio'!A188</f>
        <v>LN00187</v>
      </c>
      <c r="B188">
        <f>'02_Loan_Portfolio'!Q188</f>
        <v>1</v>
      </c>
      <c r="C188">
        <f>'02_Loan_Portfolio'!N188</f>
        <v>0.15224199999999999</v>
      </c>
      <c r="D188">
        <f>'02_Loan_Portfolio'!R188</f>
        <v>0.22836300000000001</v>
      </c>
      <c r="E188">
        <f>'02_Loan_Portfolio'!O188</f>
        <v>0.52597499999999997</v>
      </c>
      <c r="F188">
        <f>'02_Loan_Portfolio'!P188</f>
        <v>2193282441718</v>
      </c>
      <c r="G188">
        <f t="shared" si="6"/>
        <v>0.15224199999999999</v>
      </c>
      <c r="H188">
        <f t="shared" si="7"/>
        <v>175628157346.17136</v>
      </c>
      <c r="I188" t="str">
        <f t="shared" si="8"/>
        <v>12M ECL</v>
      </c>
    </row>
    <row r="189" spans="1:9">
      <c r="A189" t="str">
        <f>'02_Loan_Portfolio'!A189</f>
        <v>LN00188</v>
      </c>
      <c r="B189">
        <f>'02_Loan_Portfolio'!Q189</f>
        <v>2</v>
      </c>
      <c r="C189">
        <f>'02_Loan_Portfolio'!N189</f>
        <v>8.2500000000000004E-2</v>
      </c>
      <c r="D189">
        <f>'02_Loan_Portfolio'!R189</f>
        <v>0.2475</v>
      </c>
      <c r="E189">
        <f>'02_Loan_Portfolio'!O189</f>
        <v>0.460928</v>
      </c>
      <c r="F189">
        <f>'02_Loan_Portfolio'!P189</f>
        <v>12095121879</v>
      </c>
      <c r="G189">
        <f t="shared" si="6"/>
        <v>0.2475</v>
      </c>
      <c r="H189">
        <f t="shared" si="7"/>
        <v>1379807633.5173187</v>
      </c>
      <c r="I189" t="str">
        <f t="shared" si="8"/>
        <v>Lifetime ECL</v>
      </c>
    </row>
    <row r="190" spans="1:9">
      <c r="A190" t="str">
        <f>'02_Loan_Portfolio'!A190</f>
        <v>LN00189</v>
      </c>
      <c r="B190">
        <f>'02_Loan_Portfolio'!Q190</f>
        <v>1</v>
      </c>
      <c r="C190">
        <f>'02_Loan_Portfolio'!N190</f>
        <v>0.12</v>
      </c>
      <c r="D190">
        <f>'02_Loan_Portfolio'!R190</f>
        <v>0.18</v>
      </c>
      <c r="E190">
        <f>'02_Loan_Portfolio'!O190</f>
        <v>0.49181000000000002</v>
      </c>
      <c r="F190">
        <f>'02_Loan_Portfolio'!P190</f>
        <v>1987240681199</v>
      </c>
      <c r="G190">
        <f t="shared" si="6"/>
        <v>0.12</v>
      </c>
      <c r="H190">
        <f t="shared" si="7"/>
        <v>117281380730.45763</v>
      </c>
      <c r="I190" t="str">
        <f t="shared" si="8"/>
        <v>12M ECL</v>
      </c>
    </row>
    <row r="191" spans="1:9">
      <c r="A191" t="str">
        <f>'02_Loan_Portfolio'!A191</f>
        <v>LN00190</v>
      </c>
      <c r="B191">
        <f>'02_Loan_Portfolio'!Q191</f>
        <v>1</v>
      </c>
      <c r="C191">
        <f>'02_Loan_Portfolio'!N191</f>
        <v>0.138073</v>
      </c>
      <c r="D191">
        <f>'02_Loan_Portfolio'!R191</f>
        <v>0.20710899999999999</v>
      </c>
      <c r="E191">
        <f>'02_Loan_Portfolio'!O191</f>
        <v>0.52709300000000003</v>
      </c>
      <c r="F191">
        <f>'02_Loan_Portfolio'!P191</f>
        <v>1381126162747</v>
      </c>
      <c r="G191">
        <f t="shared" si="6"/>
        <v>0.138073</v>
      </c>
      <c r="H191">
        <f t="shared" si="7"/>
        <v>100514649366.18358</v>
      </c>
      <c r="I191" t="str">
        <f t="shared" si="8"/>
        <v>12M ECL</v>
      </c>
    </row>
    <row r="192" spans="1:9">
      <c r="A192" t="str">
        <f>'02_Loan_Portfolio'!A192</f>
        <v>LN00191</v>
      </c>
      <c r="B192">
        <f>'02_Loan_Portfolio'!Q192</f>
        <v>1</v>
      </c>
      <c r="C192">
        <f>'02_Loan_Portfolio'!N192</f>
        <v>0.12</v>
      </c>
      <c r="D192">
        <f>'02_Loan_Portfolio'!R192</f>
        <v>0.18</v>
      </c>
      <c r="E192">
        <f>'02_Loan_Portfolio'!O192</f>
        <v>0.50444500000000003</v>
      </c>
      <c r="F192">
        <f>'02_Loan_Portfolio'!P192</f>
        <v>619330266894</v>
      </c>
      <c r="G192">
        <f t="shared" si="6"/>
        <v>0.12</v>
      </c>
      <c r="H192">
        <f t="shared" si="7"/>
        <v>37490166778.001259</v>
      </c>
      <c r="I192" t="str">
        <f t="shared" si="8"/>
        <v>12M ECL</v>
      </c>
    </row>
    <row r="193" spans="1:9">
      <c r="A193" t="str">
        <f>'02_Loan_Portfolio'!A193</f>
        <v>LN00192</v>
      </c>
      <c r="B193">
        <f>'02_Loan_Portfolio'!Q193</f>
        <v>1</v>
      </c>
      <c r="C193">
        <f>'02_Loan_Portfolio'!N193</f>
        <v>1.5796000000000001E-2</v>
      </c>
      <c r="D193">
        <f>'02_Loan_Portfolio'!R193</f>
        <v>2.3694E-2</v>
      </c>
      <c r="E193">
        <f>'02_Loan_Portfolio'!O193</f>
        <v>0.35763</v>
      </c>
      <c r="F193">
        <f>'02_Loan_Portfolio'!P193</f>
        <v>659937005585</v>
      </c>
      <c r="G193">
        <f t="shared" si="6"/>
        <v>1.5796000000000001E-2</v>
      </c>
      <c r="H193">
        <f t="shared" si="7"/>
        <v>3728065633.571115</v>
      </c>
      <c r="I193" t="str">
        <f t="shared" si="8"/>
        <v>12M ECL</v>
      </c>
    </row>
    <row r="194" spans="1:9">
      <c r="A194" t="str">
        <f>'02_Loan_Portfolio'!A194</f>
        <v>LN00193</v>
      </c>
      <c r="B194">
        <f>'02_Loan_Portfolio'!Q194</f>
        <v>1</v>
      </c>
      <c r="C194">
        <f>'02_Loan_Portfolio'!N194</f>
        <v>1.6428999999999999E-2</v>
      </c>
      <c r="D194">
        <f>'02_Loan_Portfolio'!R194</f>
        <v>2.4643000000000002E-2</v>
      </c>
      <c r="E194">
        <f>'02_Loan_Portfolio'!O194</f>
        <v>0.64286600000000005</v>
      </c>
      <c r="F194">
        <f>'02_Loan_Portfolio'!P194</f>
        <v>340814701119</v>
      </c>
      <c r="G194">
        <f t="shared" ref="G194:G251" si="9">IF(B194=1,C194,D194)</f>
        <v>1.6428999999999999E-2</v>
      </c>
      <c r="H194">
        <f t="shared" ref="H194:H251" si="10">G194*E194*F194</f>
        <v>3599564059.1787372</v>
      </c>
      <c r="I194" t="str">
        <f t="shared" ref="I194:I251" si="11">IF(B194=1,"12M ECL","Lifetime ECL")</f>
        <v>12M ECL</v>
      </c>
    </row>
    <row r="195" spans="1:9">
      <c r="A195" t="str">
        <f>'02_Loan_Portfolio'!A195</f>
        <v>LN00194</v>
      </c>
      <c r="B195">
        <f>'02_Loan_Portfolio'!Q195</f>
        <v>3</v>
      </c>
      <c r="C195">
        <f>'02_Loan_Portfolio'!N195</f>
        <v>6.9223999999999994E-2</v>
      </c>
      <c r="D195">
        <f>'02_Loan_Portfolio'!R195</f>
        <v>6.9223999999999994E-2</v>
      </c>
      <c r="E195">
        <f>'02_Loan_Portfolio'!O195</f>
        <v>0.26879700000000001</v>
      </c>
      <c r="F195">
        <f>'02_Loan_Portfolio'!P195</f>
        <v>460532306858</v>
      </c>
      <c r="G195">
        <f t="shared" si="9"/>
        <v>6.9223999999999994E-2</v>
      </c>
      <c r="H195">
        <f t="shared" si="10"/>
        <v>8569218364.926156</v>
      </c>
      <c r="I195" t="str">
        <f t="shared" si="11"/>
        <v>Lifetime ECL</v>
      </c>
    </row>
    <row r="196" spans="1:9">
      <c r="A196" t="str">
        <f>'02_Loan_Portfolio'!A196</f>
        <v>LN00195</v>
      </c>
      <c r="B196">
        <f>'02_Loan_Portfolio'!Q196</f>
        <v>1</v>
      </c>
      <c r="C196">
        <f>'02_Loan_Portfolio'!N196</f>
        <v>2.7524E-2</v>
      </c>
      <c r="D196">
        <f>'02_Loan_Portfolio'!R196</f>
        <v>4.1286000000000003E-2</v>
      </c>
      <c r="E196">
        <f>'02_Loan_Portfolio'!O196</f>
        <v>0.74092000000000002</v>
      </c>
      <c r="F196">
        <f>'02_Loan_Portfolio'!P196</f>
        <v>1433639505578</v>
      </c>
      <c r="G196">
        <f t="shared" si="9"/>
        <v>2.7524E-2</v>
      </c>
      <c r="H196">
        <f t="shared" si="10"/>
        <v>29236328110.382771</v>
      </c>
      <c r="I196" t="str">
        <f t="shared" si="11"/>
        <v>12M ECL</v>
      </c>
    </row>
    <row r="197" spans="1:9">
      <c r="A197" t="str">
        <f>'02_Loan_Portfolio'!A197</f>
        <v>LN00196</v>
      </c>
      <c r="B197">
        <f>'02_Loan_Portfolio'!Q197</f>
        <v>1</v>
      </c>
      <c r="C197">
        <f>'02_Loan_Portfolio'!N197</f>
        <v>0.40910099999999999</v>
      </c>
      <c r="D197">
        <f>'02_Loan_Portfolio'!R197</f>
        <v>0.61365099999999995</v>
      </c>
      <c r="E197">
        <f>'02_Loan_Portfolio'!O197</f>
        <v>0.57617300000000005</v>
      </c>
      <c r="F197">
        <f>'02_Loan_Portfolio'!P197</f>
        <v>2854393888650</v>
      </c>
      <c r="G197">
        <f t="shared" si="9"/>
        <v>0.40910099999999999</v>
      </c>
      <c r="H197">
        <f t="shared" si="10"/>
        <v>672817605305.79138</v>
      </c>
      <c r="I197" t="str">
        <f t="shared" si="11"/>
        <v>12M ECL</v>
      </c>
    </row>
    <row r="198" spans="1:9">
      <c r="A198" t="str">
        <f>'02_Loan_Portfolio'!A198</f>
        <v>LN00197</v>
      </c>
      <c r="B198">
        <f>'02_Loan_Portfolio'!Q198</f>
        <v>2</v>
      </c>
      <c r="C198">
        <f>'02_Loan_Portfolio'!N198</f>
        <v>0.19017100000000001</v>
      </c>
      <c r="D198">
        <f>'02_Loan_Portfolio'!R198</f>
        <v>0.57051399999999997</v>
      </c>
      <c r="E198">
        <f>'02_Loan_Portfolio'!O198</f>
        <v>0.740402</v>
      </c>
      <c r="F198">
        <f>'02_Loan_Portfolio'!P198</f>
        <v>382267126352</v>
      </c>
      <c r="G198">
        <f t="shared" si="9"/>
        <v>0.57051399999999997</v>
      </c>
      <c r="H198">
        <f t="shared" si="10"/>
        <v>161473344695.87692</v>
      </c>
      <c r="I198" t="str">
        <f t="shared" si="11"/>
        <v>Lifetime ECL</v>
      </c>
    </row>
    <row r="199" spans="1:9">
      <c r="A199" t="str">
        <f>'02_Loan_Portfolio'!A199</f>
        <v>LN00198</v>
      </c>
      <c r="B199">
        <f>'02_Loan_Portfolio'!Q199</f>
        <v>1</v>
      </c>
      <c r="C199">
        <f>'02_Loan_Portfolio'!N199</f>
        <v>5.2459999999999998E-3</v>
      </c>
      <c r="D199">
        <f>'02_Loan_Portfolio'!R199</f>
        <v>7.8689999999999993E-3</v>
      </c>
      <c r="E199">
        <f>'02_Loan_Portfolio'!O199</f>
        <v>0.35392499999999999</v>
      </c>
      <c r="F199">
        <f>'02_Loan_Portfolio'!P199</f>
        <v>2038676389161</v>
      </c>
      <c r="G199">
        <f t="shared" si="9"/>
        <v>5.2459999999999998E-3</v>
      </c>
      <c r="H199">
        <f t="shared" si="10"/>
        <v>3785191186.2633505</v>
      </c>
      <c r="I199" t="str">
        <f t="shared" si="11"/>
        <v>12M ECL</v>
      </c>
    </row>
    <row r="200" spans="1:9">
      <c r="A200" t="str">
        <f>'02_Loan_Portfolio'!A200</f>
        <v>LN00199</v>
      </c>
      <c r="B200">
        <f>'02_Loan_Portfolio'!Q200</f>
        <v>1</v>
      </c>
      <c r="C200">
        <f>'02_Loan_Portfolio'!N200</f>
        <v>5.5385999999999998E-2</v>
      </c>
      <c r="D200">
        <f>'02_Loan_Portfolio'!R200</f>
        <v>8.3079E-2</v>
      </c>
      <c r="E200">
        <f>'02_Loan_Portfolio'!O200</f>
        <v>0.52391699999999997</v>
      </c>
      <c r="F200">
        <f>'02_Loan_Portfolio'!P200</f>
        <v>2196654331137</v>
      </c>
      <c r="G200">
        <f t="shared" si="9"/>
        <v>5.5385999999999998E-2</v>
      </c>
      <c r="H200">
        <f t="shared" si="10"/>
        <v>63741783811.568329</v>
      </c>
      <c r="I200" t="str">
        <f t="shared" si="11"/>
        <v>12M ECL</v>
      </c>
    </row>
    <row r="201" spans="1:9">
      <c r="A201" t="str">
        <f>'02_Loan_Portfolio'!A201</f>
        <v>LN00200</v>
      </c>
      <c r="B201">
        <f>'02_Loan_Portfolio'!Q201</f>
        <v>2</v>
      </c>
      <c r="C201">
        <f>'02_Loan_Portfolio'!N201</f>
        <v>0.18257899999999999</v>
      </c>
      <c r="D201">
        <f>'02_Loan_Portfolio'!R201</f>
        <v>0.54773799999999995</v>
      </c>
      <c r="E201">
        <f>'02_Loan_Portfolio'!O201</f>
        <v>0.68571099999999996</v>
      </c>
      <c r="F201">
        <f>'02_Loan_Portfolio'!P201</f>
        <v>1642801708675</v>
      </c>
      <c r="G201">
        <f t="shared" si="9"/>
        <v>0.54773799999999995</v>
      </c>
      <c r="H201">
        <f t="shared" si="10"/>
        <v>617019847299.52527</v>
      </c>
      <c r="I201" t="str">
        <f t="shared" si="11"/>
        <v>Lifetime ECL</v>
      </c>
    </row>
    <row r="202" spans="1:9">
      <c r="A202" t="str">
        <f>'02_Loan_Portfolio'!A202</f>
        <v>LN00201</v>
      </c>
      <c r="B202">
        <f>'02_Loan_Portfolio'!Q202</f>
        <v>3</v>
      </c>
      <c r="C202">
        <f>'02_Loan_Portfolio'!N202</f>
        <v>0.88666699999999998</v>
      </c>
      <c r="D202">
        <f>'02_Loan_Portfolio'!R202</f>
        <v>0.88666699999999998</v>
      </c>
      <c r="E202">
        <f>'02_Loan_Portfolio'!O202</f>
        <v>0.48027900000000001</v>
      </c>
      <c r="F202">
        <f>'02_Loan_Portfolio'!P202</f>
        <v>1122427138231</v>
      </c>
      <c r="G202">
        <f t="shared" si="9"/>
        <v>0.88666699999999998</v>
      </c>
      <c r="H202">
        <f t="shared" si="10"/>
        <v>477982835749.29706</v>
      </c>
      <c r="I202" t="str">
        <f t="shared" si="11"/>
        <v>Lifetime ECL</v>
      </c>
    </row>
    <row r="203" spans="1:9">
      <c r="A203" t="str">
        <f>'02_Loan_Portfolio'!A203</f>
        <v>LN00202</v>
      </c>
      <c r="B203">
        <f>'02_Loan_Portfolio'!Q203</f>
        <v>2</v>
      </c>
      <c r="C203">
        <f>'02_Loan_Portfolio'!N203</f>
        <v>0.58333299999999999</v>
      </c>
      <c r="D203">
        <f>'02_Loan_Portfolio'!R203</f>
        <v>0.99</v>
      </c>
      <c r="E203">
        <f>'02_Loan_Portfolio'!O203</f>
        <v>0.38570399999999999</v>
      </c>
      <c r="F203">
        <f>'02_Loan_Portfolio'!P203</f>
        <v>1493233664096</v>
      </c>
      <c r="G203">
        <f t="shared" si="9"/>
        <v>0.99</v>
      </c>
      <c r="H203">
        <f t="shared" si="10"/>
        <v>570186735204.71875</v>
      </c>
      <c r="I203" t="str">
        <f t="shared" si="11"/>
        <v>Lifetime ECL</v>
      </c>
    </row>
    <row r="204" spans="1:9">
      <c r="A204" t="str">
        <f>'02_Loan_Portfolio'!A204</f>
        <v>LN00203</v>
      </c>
      <c r="B204">
        <f>'02_Loan_Portfolio'!Q204</f>
        <v>1</v>
      </c>
      <c r="C204">
        <f>'02_Loan_Portfolio'!N204</f>
        <v>0.409937</v>
      </c>
      <c r="D204">
        <f>'02_Loan_Portfolio'!R204</f>
        <v>0.61490500000000003</v>
      </c>
      <c r="E204">
        <f>'02_Loan_Portfolio'!O204</f>
        <v>0.63662300000000005</v>
      </c>
      <c r="F204">
        <f>'02_Loan_Portfolio'!P204</f>
        <v>2023735281566</v>
      </c>
      <c r="G204">
        <f t="shared" si="9"/>
        <v>0.409937</v>
      </c>
      <c r="H204">
        <f t="shared" si="10"/>
        <v>528144968269.27271</v>
      </c>
      <c r="I204" t="str">
        <f t="shared" si="11"/>
        <v>12M ECL</v>
      </c>
    </row>
    <row r="205" spans="1:9">
      <c r="A205" t="str">
        <f>'02_Loan_Portfolio'!A205</f>
        <v>LN00204</v>
      </c>
      <c r="B205">
        <f>'02_Loan_Portfolio'!Q205</f>
        <v>1</v>
      </c>
      <c r="C205">
        <f>'02_Loan_Portfolio'!N205</f>
        <v>5.0000000000000001E-3</v>
      </c>
      <c r="D205">
        <f>'02_Loan_Portfolio'!R205</f>
        <v>7.4999999999999997E-3</v>
      </c>
      <c r="E205">
        <f>'02_Loan_Portfolio'!O205</f>
        <v>0.63164200000000004</v>
      </c>
      <c r="F205">
        <f>'02_Loan_Portfolio'!P205</f>
        <v>586273408598</v>
      </c>
      <c r="G205">
        <f t="shared" si="9"/>
        <v>5.0000000000000001E-3</v>
      </c>
      <c r="H205">
        <f t="shared" si="10"/>
        <v>1851574541.7682898</v>
      </c>
      <c r="I205" t="str">
        <f t="shared" si="11"/>
        <v>12M ECL</v>
      </c>
    </row>
    <row r="206" spans="1:9">
      <c r="A206" t="str">
        <f>'02_Loan_Portfolio'!A206</f>
        <v>LN00205</v>
      </c>
      <c r="B206">
        <f>'02_Loan_Portfolio'!Q206</f>
        <v>1</v>
      </c>
      <c r="C206">
        <f>'02_Loan_Portfolio'!N206</f>
        <v>8.3445000000000005E-2</v>
      </c>
      <c r="D206">
        <f>'02_Loan_Portfolio'!R206</f>
        <v>0.125168</v>
      </c>
      <c r="E206">
        <f>'02_Loan_Portfolio'!O206</f>
        <v>0.523594</v>
      </c>
      <c r="F206">
        <f>'02_Loan_Portfolio'!P206</f>
        <v>2945948249435</v>
      </c>
      <c r="G206">
        <f t="shared" si="9"/>
        <v>8.3445000000000005E-2</v>
      </c>
      <c r="H206">
        <f t="shared" si="10"/>
        <v>128712312668.65059</v>
      </c>
      <c r="I206" t="str">
        <f t="shared" si="11"/>
        <v>12M ECL</v>
      </c>
    </row>
    <row r="207" spans="1:9">
      <c r="A207" t="str">
        <f>'02_Loan_Portfolio'!A207</f>
        <v>LN00206</v>
      </c>
      <c r="B207">
        <f>'02_Loan_Portfolio'!Q207</f>
        <v>1</v>
      </c>
      <c r="C207">
        <f>'02_Loan_Portfolio'!N207</f>
        <v>1.4999999999999999E-2</v>
      </c>
      <c r="D207">
        <f>'02_Loan_Portfolio'!R207</f>
        <v>2.2499999999999999E-2</v>
      </c>
      <c r="E207">
        <f>'02_Loan_Portfolio'!O207</f>
        <v>0.47862700000000002</v>
      </c>
      <c r="F207">
        <f>'02_Loan_Portfolio'!P207</f>
        <v>2065844413767</v>
      </c>
      <c r="G207">
        <f t="shared" si="9"/>
        <v>1.4999999999999999E-2</v>
      </c>
      <c r="H207">
        <f t="shared" si="10"/>
        <v>14831533713.420868</v>
      </c>
      <c r="I207" t="str">
        <f t="shared" si="11"/>
        <v>12M ECL</v>
      </c>
    </row>
    <row r="208" spans="1:9">
      <c r="A208" t="str">
        <f>'02_Loan_Portfolio'!A208</f>
        <v>LN00207</v>
      </c>
      <c r="B208">
        <f>'02_Loan_Portfolio'!Q208</f>
        <v>1</v>
      </c>
      <c r="C208">
        <f>'02_Loan_Portfolio'!N208</f>
        <v>1.2E-2</v>
      </c>
      <c r="D208">
        <f>'02_Loan_Portfolio'!R208</f>
        <v>1.7999999999999999E-2</v>
      </c>
      <c r="E208">
        <f>'02_Loan_Portfolio'!O208</f>
        <v>0.67400300000000002</v>
      </c>
      <c r="F208">
        <f>'02_Loan_Portfolio'!P208</f>
        <v>767899883245</v>
      </c>
      <c r="G208">
        <f t="shared" si="9"/>
        <v>1.2E-2</v>
      </c>
      <c r="H208">
        <f t="shared" si="10"/>
        <v>6210801900.081357</v>
      </c>
      <c r="I208" t="str">
        <f t="shared" si="11"/>
        <v>12M ECL</v>
      </c>
    </row>
    <row r="209" spans="1:9">
      <c r="A209" t="str">
        <f>'02_Loan_Portfolio'!A209</f>
        <v>LN00208</v>
      </c>
      <c r="B209">
        <f>'02_Loan_Portfolio'!Q209</f>
        <v>1</v>
      </c>
      <c r="C209">
        <f>'02_Loan_Portfolio'!N209</f>
        <v>2.562E-3</v>
      </c>
      <c r="D209">
        <f>'02_Loan_Portfolio'!R209</f>
        <v>3.8430000000000001E-3</v>
      </c>
      <c r="E209">
        <f>'02_Loan_Portfolio'!O209</f>
        <v>0.55659700000000001</v>
      </c>
      <c r="F209">
        <f>'02_Loan_Portfolio'!P209</f>
        <v>791746822583</v>
      </c>
      <c r="G209">
        <f t="shared" si="9"/>
        <v>2.562E-3</v>
      </c>
      <c r="H209">
        <f t="shared" si="10"/>
        <v>1129032167.7080474</v>
      </c>
      <c r="I209" t="str">
        <f t="shared" si="11"/>
        <v>12M ECL</v>
      </c>
    </row>
    <row r="210" spans="1:9">
      <c r="A210" t="str">
        <f>'02_Loan_Portfolio'!A210</f>
        <v>LN00209</v>
      </c>
      <c r="B210">
        <f>'02_Loan_Portfolio'!Q210</f>
        <v>1</v>
      </c>
      <c r="C210">
        <f>'02_Loan_Portfolio'!N210</f>
        <v>2.5000000000000001E-2</v>
      </c>
      <c r="D210">
        <f>'02_Loan_Portfolio'!R210</f>
        <v>3.7499999999999999E-2</v>
      </c>
      <c r="E210">
        <f>'02_Loan_Portfolio'!O210</f>
        <v>0.58568500000000001</v>
      </c>
      <c r="F210">
        <f>'02_Loan_Portfolio'!P210</f>
        <v>1254461425697</v>
      </c>
      <c r="G210">
        <f t="shared" si="9"/>
        <v>2.5000000000000001E-2</v>
      </c>
      <c r="H210">
        <f t="shared" si="10"/>
        <v>18367981002.733688</v>
      </c>
      <c r="I210" t="str">
        <f t="shared" si="11"/>
        <v>12M ECL</v>
      </c>
    </row>
    <row r="211" spans="1:9">
      <c r="A211" t="str">
        <f>'02_Loan_Portfolio'!A211</f>
        <v>LN00210</v>
      </c>
      <c r="B211">
        <f>'02_Loan_Portfolio'!Q211</f>
        <v>2</v>
      </c>
      <c r="C211">
        <f>'02_Loan_Portfolio'!N211</f>
        <v>1.3027E-2</v>
      </c>
      <c r="D211">
        <f>'02_Loan_Portfolio'!R211</f>
        <v>3.9081999999999999E-2</v>
      </c>
      <c r="E211">
        <f>'02_Loan_Portfolio'!O211</f>
        <v>0.50391600000000003</v>
      </c>
      <c r="F211">
        <f>'02_Loan_Portfolio'!P211</f>
        <v>651217821722</v>
      </c>
      <c r="G211">
        <f t="shared" si="9"/>
        <v>3.9081999999999999E-2</v>
      </c>
      <c r="H211">
        <f t="shared" si="10"/>
        <v>12825113158.731441</v>
      </c>
      <c r="I211" t="str">
        <f t="shared" si="11"/>
        <v>Lifetime ECL</v>
      </c>
    </row>
    <row r="212" spans="1:9">
      <c r="A212" t="str">
        <f>'02_Loan_Portfolio'!A212</f>
        <v>LN00211</v>
      </c>
      <c r="B212">
        <f>'02_Loan_Portfolio'!Q212</f>
        <v>1</v>
      </c>
      <c r="C212">
        <f>'02_Loan_Portfolio'!N212</f>
        <v>1.3553000000000001E-2</v>
      </c>
      <c r="D212">
        <f>'02_Loan_Portfolio'!R212</f>
        <v>2.0329E-2</v>
      </c>
      <c r="E212">
        <f>'02_Loan_Portfolio'!O212</f>
        <v>0.57747000000000004</v>
      </c>
      <c r="F212">
        <f>'02_Loan_Portfolio'!P212</f>
        <v>637190661056</v>
      </c>
      <c r="G212">
        <f t="shared" si="9"/>
        <v>1.3553000000000001E-2</v>
      </c>
      <c r="H212">
        <f t="shared" si="10"/>
        <v>4986941429.0652332</v>
      </c>
      <c r="I212" t="str">
        <f t="shared" si="11"/>
        <v>12M ECL</v>
      </c>
    </row>
    <row r="213" spans="1:9">
      <c r="A213" t="str">
        <f>'02_Loan_Portfolio'!A213</f>
        <v>LN00212</v>
      </c>
      <c r="B213">
        <f>'02_Loan_Portfolio'!Q213</f>
        <v>1</v>
      </c>
      <c r="C213">
        <f>'02_Loan_Portfolio'!N213</f>
        <v>1.2E-2</v>
      </c>
      <c r="D213">
        <f>'02_Loan_Portfolio'!R213</f>
        <v>1.7999999999999999E-2</v>
      </c>
      <c r="E213">
        <f>'02_Loan_Portfolio'!O213</f>
        <v>0.75139800000000001</v>
      </c>
      <c r="F213">
        <f>'02_Loan_Portfolio'!P213</f>
        <v>1104831841461</v>
      </c>
      <c r="G213">
        <f t="shared" si="9"/>
        <v>1.2E-2</v>
      </c>
      <c r="H213">
        <f t="shared" si="10"/>
        <v>9962021232.1213512</v>
      </c>
      <c r="I213" t="str">
        <f t="shared" si="11"/>
        <v>12M ECL</v>
      </c>
    </row>
    <row r="214" spans="1:9">
      <c r="A214" t="str">
        <f>'02_Loan_Portfolio'!A214</f>
        <v>LN00213</v>
      </c>
      <c r="B214">
        <f>'02_Loan_Portfolio'!Q214</f>
        <v>1</v>
      </c>
      <c r="C214">
        <f>'02_Loan_Portfolio'!N214</f>
        <v>3.0402999999999999E-2</v>
      </c>
      <c r="D214">
        <f>'02_Loan_Portfolio'!R214</f>
        <v>4.5605E-2</v>
      </c>
      <c r="E214">
        <f>'02_Loan_Portfolio'!O214</f>
        <v>0.68491999999999997</v>
      </c>
      <c r="F214">
        <f>'02_Loan_Portfolio'!P214</f>
        <v>2782606700330</v>
      </c>
      <c r="G214">
        <f t="shared" si="9"/>
        <v>3.0402999999999999E-2</v>
      </c>
      <c r="H214">
        <f t="shared" si="10"/>
        <v>57943952217.120285</v>
      </c>
      <c r="I214" t="str">
        <f t="shared" si="11"/>
        <v>12M ECL</v>
      </c>
    </row>
    <row r="215" spans="1:9">
      <c r="A215" t="str">
        <f>'02_Loan_Portfolio'!A215</f>
        <v>LN00214</v>
      </c>
      <c r="B215">
        <f>'02_Loan_Portfolio'!Q215</f>
        <v>2</v>
      </c>
      <c r="C215">
        <f>'02_Loan_Portfolio'!N215</f>
        <v>0.18</v>
      </c>
      <c r="D215">
        <f>'02_Loan_Portfolio'!R215</f>
        <v>0.54</v>
      </c>
      <c r="E215">
        <f>'02_Loan_Portfolio'!O215</f>
        <v>0.57208499999999995</v>
      </c>
      <c r="F215">
        <f>'02_Loan_Portfolio'!P215</f>
        <v>2945297054115</v>
      </c>
      <c r="G215">
        <f t="shared" si="9"/>
        <v>0.54</v>
      </c>
      <c r="H215">
        <f t="shared" si="10"/>
        <v>909878543209.82495</v>
      </c>
      <c r="I215" t="str">
        <f t="shared" si="11"/>
        <v>Lifetime ECL</v>
      </c>
    </row>
    <row r="216" spans="1:9">
      <c r="A216" t="str">
        <f>'02_Loan_Portfolio'!A216</f>
        <v>LN00215</v>
      </c>
      <c r="B216">
        <f>'02_Loan_Portfolio'!Q216</f>
        <v>1</v>
      </c>
      <c r="C216">
        <f>'02_Loan_Portfolio'!N216</f>
        <v>0.13073100000000001</v>
      </c>
      <c r="D216">
        <f>'02_Loan_Portfolio'!R216</f>
        <v>0.19609599999999999</v>
      </c>
      <c r="E216">
        <f>'02_Loan_Portfolio'!O216</f>
        <v>0.575824</v>
      </c>
      <c r="F216">
        <f>'02_Loan_Portfolio'!P216</f>
        <v>3019438195748</v>
      </c>
      <c r="G216">
        <f t="shared" si="9"/>
        <v>0.13073100000000001</v>
      </c>
      <c r="H216">
        <f t="shared" si="10"/>
        <v>227297411451.79993</v>
      </c>
      <c r="I216" t="str">
        <f t="shared" si="11"/>
        <v>12M ECL</v>
      </c>
    </row>
    <row r="217" spans="1:9">
      <c r="A217" t="str">
        <f>'02_Loan_Portfolio'!A217</f>
        <v>LN00216</v>
      </c>
      <c r="B217">
        <f>'02_Loan_Portfolio'!Q217</f>
        <v>1</v>
      </c>
      <c r="C217">
        <f>'02_Loan_Portfolio'!N217</f>
        <v>3.125E-2</v>
      </c>
      <c r="D217">
        <f>'02_Loan_Portfolio'!R217</f>
        <v>4.6875E-2</v>
      </c>
      <c r="E217">
        <f>'02_Loan_Portfolio'!O217</f>
        <v>0.39504400000000001</v>
      </c>
      <c r="F217">
        <f>'02_Loan_Portfolio'!P217</f>
        <v>3473509486079</v>
      </c>
      <c r="G217">
        <f t="shared" si="9"/>
        <v>3.125E-2</v>
      </c>
      <c r="H217">
        <f t="shared" si="10"/>
        <v>42880908794.331017</v>
      </c>
      <c r="I217" t="str">
        <f t="shared" si="11"/>
        <v>12M ECL</v>
      </c>
    </row>
    <row r="218" spans="1:9">
      <c r="A218" t="str">
        <f>'02_Loan_Portfolio'!A218</f>
        <v>LN00217</v>
      </c>
      <c r="B218">
        <f>'02_Loan_Portfolio'!Q218</f>
        <v>1</v>
      </c>
      <c r="C218">
        <f>'02_Loan_Portfolio'!N218</f>
        <v>0.13</v>
      </c>
      <c r="D218">
        <f>'02_Loan_Portfolio'!R218</f>
        <v>0.19500000000000001</v>
      </c>
      <c r="E218">
        <f>'02_Loan_Portfolio'!O218</f>
        <v>0.49613800000000002</v>
      </c>
      <c r="F218">
        <f>'02_Loan_Portfolio'!P218</f>
        <v>1835211199869</v>
      </c>
      <c r="G218">
        <f t="shared" si="9"/>
        <v>0.13</v>
      </c>
      <c r="H218">
        <f t="shared" si="10"/>
        <v>118367341856.47878</v>
      </c>
      <c r="I218" t="str">
        <f t="shared" si="11"/>
        <v>12M ECL</v>
      </c>
    </row>
    <row r="219" spans="1:9">
      <c r="A219" t="str">
        <f>'02_Loan_Portfolio'!A219</f>
        <v>LN00218</v>
      </c>
      <c r="B219">
        <f>'02_Loan_Portfolio'!Q219</f>
        <v>2</v>
      </c>
      <c r="C219">
        <f>'02_Loan_Portfolio'!N219</f>
        <v>4.5832999999999999E-2</v>
      </c>
      <c r="D219">
        <f>'02_Loan_Portfolio'!R219</f>
        <v>0.13750000000000001</v>
      </c>
      <c r="E219">
        <f>'02_Loan_Portfolio'!O219</f>
        <v>0.60312200000000005</v>
      </c>
      <c r="F219">
        <f>'02_Loan_Portfolio'!P219</f>
        <v>93578503407</v>
      </c>
      <c r="G219">
        <f t="shared" si="9"/>
        <v>0.13750000000000001</v>
      </c>
      <c r="H219">
        <f t="shared" si="10"/>
        <v>7760397443.1275406</v>
      </c>
      <c r="I219" t="str">
        <f t="shared" si="11"/>
        <v>Lifetime ECL</v>
      </c>
    </row>
    <row r="220" spans="1:9">
      <c r="A220" t="str">
        <f>'02_Loan_Portfolio'!A220</f>
        <v>LN00219</v>
      </c>
      <c r="B220">
        <f>'02_Loan_Portfolio'!Q220</f>
        <v>1</v>
      </c>
      <c r="C220">
        <f>'02_Loan_Portfolio'!N220</f>
        <v>3.4944000000000003E-2</v>
      </c>
      <c r="D220">
        <f>'02_Loan_Portfolio'!R220</f>
        <v>5.2415999999999997E-2</v>
      </c>
      <c r="E220">
        <f>'02_Loan_Portfolio'!O220</f>
        <v>0.56584000000000001</v>
      </c>
      <c r="F220">
        <f>'02_Loan_Portfolio'!P220</f>
        <v>2767059467955</v>
      </c>
      <c r="G220">
        <f t="shared" si="9"/>
        <v>3.4944000000000003E-2</v>
      </c>
      <c r="H220">
        <f t="shared" si="10"/>
        <v>54712272603.124535</v>
      </c>
      <c r="I220" t="str">
        <f t="shared" si="11"/>
        <v>12M ECL</v>
      </c>
    </row>
    <row r="221" spans="1:9">
      <c r="A221" t="str">
        <f>'02_Loan_Portfolio'!A221</f>
        <v>LN00220</v>
      </c>
      <c r="B221">
        <f>'02_Loan_Portfolio'!Q221</f>
        <v>2</v>
      </c>
      <c r="C221">
        <f>'02_Loan_Portfolio'!N221</f>
        <v>0.10018100000000001</v>
      </c>
      <c r="D221">
        <f>'02_Loan_Portfolio'!R221</f>
        <v>0.30054399999999998</v>
      </c>
      <c r="E221">
        <f>'02_Loan_Portfolio'!O221</f>
        <v>0.25709300000000002</v>
      </c>
      <c r="F221">
        <f>'02_Loan_Portfolio'!P221</f>
        <v>2353773878788</v>
      </c>
      <c r="G221">
        <f t="shared" si="9"/>
        <v>0.30054399999999998</v>
      </c>
      <c r="H221">
        <f t="shared" si="10"/>
        <v>181870831846.34665</v>
      </c>
      <c r="I221" t="str">
        <f t="shared" si="11"/>
        <v>Lifetime ECL</v>
      </c>
    </row>
    <row r="222" spans="1:9">
      <c r="A222" t="str">
        <f>'02_Loan_Portfolio'!A222</f>
        <v>LN00221</v>
      </c>
      <c r="B222">
        <f>'02_Loan_Portfolio'!Q222</f>
        <v>2</v>
      </c>
      <c r="C222">
        <f>'02_Loan_Portfolio'!N222</f>
        <v>0.200793</v>
      </c>
      <c r="D222">
        <f>'02_Loan_Portfolio'!R222</f>
        <v>0.60237799999999997</v>
      </c>
      <c r="E222">
        <f>'02_Loan_Portfolio'!O222</f>
        <v>0.412103</v>
      </c>
      <c r="F222">
        <f>'02_Loan_Portfolio'!P222</f>
        <v>2807359837963</v>
      </c>
      <c r="G222">
        <f t="shared" si="9"/>
        <v>0.60237799999999997</v>
      </c>
      <c r="H222">
        <f t="shared" si="10"/>
        <v>696904005898.52075</v>
      </c>
      <c r="I222" t="str">
        <f t="shared" si="11"/>
        <v>Lifetime ECL</v>
      </c>
    </row>
    <row r="223" spans="1:9">
      <c r="A223" t="str">
        <f>'02_Loan_Portfolio'!A223</f>
        <v>LN00222</v>
      </c>
      <c r="B223">
        <f>'02_Loan_Portfolio'!Q223</f>
        <v>1</v>
      </c>
      <c r="C223">
        <f>'02_Loan_Portfolio'!N223</f>
        <v>6.2500000000000003E-3</v>
      </c>
      <c r="D223">
        <f>'02_Loan_Portfolio'!R223</f>
        <v>9.3749999999999997E-3</v>
      </c>
      <c r="E223">
        <f>'02_Loan_Portfolio'!O223</f>
        <v>0.36378100000000002</v>
      </c>
      <c r="F223">
        <f>'02_Loan_Portfolio'!P223</f>
        <v>1014612132076</v>
      </c>
      <c r="G223">
        <f t="shared" si="9"/>
        <v>6.2500000000000003E-3</v>
      </c>
      <c r="H223">
        <f t="shared" si="10"/>
        <v>2306853850.1171212</v>
      </c>
      <c r="I223" t="str">
        <f t="shared" si="11"/>
        <v>12M ECL</v>
      </c>
    </row>
    <row r="224" spans="1:9">
      <c r="A224" t="str">
        <f>'02_Loan_Portfolio'!A224</f>
        <v>LN00223</v>
      </c>
      <c r="B224">
        <f>'02_Loan_Portfolio'!Q224</f>
        <v>1</v>
      </c>
      <c r="C224">
        <f>'02_Loan_Portfolio'!N224</f>
        <v>0.15118599999999999</v>
      </c>
      <c r="D224">
        <f>'02_Loan_Portfolio'!R224</f>
        <v>0.22678000000000001</v>
      </c>
      <c r="E224">
        <f>'02_Loan_Portfolio'!O224</f>
        <v>0.497776</v>
      </c>
      <c r="F224">
        <f>'02_Loan_Portfolio'!P224</f>
        <v>959704996530</v>
      </c>
      <c r="G224">
        <f t="shared" si="9"/>
        <v>0.15118599999999999</v>
      </c>
      <c r="H224">
        <f t="shared" si="10"/>
        <v>72224290836.529907</v>
      </c>
      <c r="I224" t="str">
        <f t="shared" si="11"/>
        <v>12M ECL</v>
      </c>
    </row>
    <row r="225" spans="1:9">
      <c r="A225" t="str">
        <f>'02_Loan_Portfolio'!A225</f>
        <v>LN00224</v>
      </c>
      <c r="B225">
        <f>'02_Loan_Portfolio'!Q225</f>
        <v>1</v>
      </c>
      <c r="C225">
        <f>'02_Loan_Portfolio'!N225</f>
        <v>5.9582999999999997E-2</v>
      </c>
      <c r="D225">
        <f>'02_Loan_Portfolio'!R225</f>
        <v>8.9374999999999996E-2</v>
      </c>
      <c r="E225">
        <f>'02_Loan_Portfolio'!O225</f>
        <v>0.428842</v>
      </c>
      <c r="F225">
        <f>'02_Loan_Portfolio'!P225</f>
        <v>3187321441596</v>
      </c>
      <c r="G225">
        <f t="shared" si="9"/>
        <v>5.9582999999999997E-2</v>
      </c>
      <c r="H225">
        <f t="shared" si="10"/>
        <v>81441458604.623779</v>
      </c>
      <c r="I225" t="str">
        <f t="shared" si="11"/>
        <v>12M ECL</v>
      </c>
    </row>
    <row r="226" spans="1:9">
      <c r="A226" t="str">
        <f>'02_Loan_Portfolio'!A226</f>
        <v>LN00225</v>
      </c>
      <c r="B226">
        <f>'02_Loan_Portfolio'!Q226</f>
        <v>1</v>
      </c>
      <c r="C226">
        <f>'02_Loan_Portfolio'!N226</f>
        <v>3.3822999999999999E-2</v>
      </c>
      <c r="D226">
        <f>'02_Loan_Portfolio'!R226</f>
        <v>5.0734000000000001E-2</v>
      </c>
      <c r="E226">
        <f>'02_Loan_Portfolio'!O226</f>
        <v>0.81761499999999998</v>
      </c>
      <c r="F226">
        <f>'02_Loan_Portfolio'!P226</f>
        <v>2813599008388</v>
      </c>
      <c r="G226">
        <f t="shared" si="9"/>
        <v>3.3822999999999999E-2</v>
      </c>
      <c r="H226">
        <f t="shared" si="10"/>
        <v>77807807596.943222</v>
      </c>
      <c r="I226" t="str">
        <f t="shared" si="11"/>
        <v>12M ECL</v>
      </c>
    </row>
    <row r="227" spans="1:9">
      <c r="A227" t="str">
        <f>'02_Loan_Portfolio'!A227</f>
        <v>LN00226</v>
      </c>
      <c r="B227">
        <f>'02_Loan_Portfolio'!Q227</f>
        <v>1</v>
      </c>
      <c r="C227">
        <f>'02_Loan_Portfolio'!N227</f>
        <v>2.7428999999999999E-2</v>
      </c>
      <c r="D227">
        <f>'02_Loan_Portfolio'!R227</f>
        <v>4.1142999999999999E-2</v>
      </c>
      <c r="E227">
        <f>'02_Loan_Portfolio'!O227</f>
        <v>0.65781800000000001</v>
      </c>
      <c r="F227">
        <f>'02_Loan_Portfolio'!P227</f>
        <v>161321862899</v>
      </c>
      <c r="G227">
        <f t="shared" si="9"/>
        <v>2.7428999999999999E-2</v>
      </c>
      <c r="H227">
        <f t="shared" si="10"/>
        <v>2910777143.0437922</v>
      </c>
      <c r="I227" t="str">
        <f t="shared" si="11"/>
        <v>12M ECL</v>
      </c>
    </row>
    <row r="228" spans="1:9">
      <c r="A228" t="str">
        <f>'02_Loan_Portfolio'!A228</f>
        <v>LN00227</v>
      </c>
      <c r="B228">
        <f>'02_Loan_Portfolio'!Q228</f>
        <v>2</v>
      </c>
      <c r="C228">
        <f>'02_Loan_Portfolio'!N228</f>
        <v>3.9583E-2</v>
      </c>
      <c r="D228">
        <f>'02_Loan_Portfolio'!R228</f>
        <v>0.11874999999999999</v>
      </c>
      <c r="E228">
        <f>'02_Loan_Portfolio'!O228</f>
        <v>0.28438600000000003</v>
      </c>
      <c r="F228">
        <f>'02_Loan_Portfolio'!P228</f>
        <v>816670023554</v>
      </c>
      <c r="G228">
        <f t="shared" si="9"/>
        <v>0.11874999999999999</v>
      </c>
      <c r="H228">
        <f t="shared" si="10"/>
        <v>27579630656.563309</v>
      </c>
      <c r="I228" t="str">
        <f t="shared" si="11"/>
        <v>Lifetime ECL</v>
      </c>
    </row>
    <row r="229" spans="1:9">
      <c r="A229" t="str">
        <f>'02_Loan_Portfolio'!A229</f>
        <v>LN00228</v>
      </c>
      <c r="B229">
        <f>'02_Loan_Portfolio'!Q229</f>
        <v>2</v>
      </c>
      <c r="C229">
        <f>'02_Loan_Portfolio'!N229</f>
        <v>0.22073499999999999</v>
      </c>
      <c r="D229">
        <f>'02_Loan_Portfolio'!R229</f>
        <v>0.66220599999999996</v>
      </c>
      <c r="E229">
        <f>'02_Loan_Portfolio'!O229</f>
        <v>0.458984</v>
      </c>
      <c r="F229">
        <f>'02_Loan_Portfolio'!P229</f>
        <v>1658018642730</v>
      </c>
      <c r="G229">
        <f t="shared" si="9"/>
        <v>0.66220599999999996</v>
      </c>
      <c r="H229">
        <f t="shared" si="10"/>
        <v>503941433839.10376</v>
      </c>
      <c r="I229" t="str">
        <f t="shared" si="11"/>
        <v>Lifetime ECL</v>
      </c>
    </row>
    <row r="230" spans="1:9">
      <c r="A230" t="str">
        <f>'02_Loan_Portfolio'!A230</f>
        <v>LN00229</v>
      </c>
      <c r="B230">
        <f>'02_Loan_Portfolio'!Q230</f>
        <v>1</v>
      </c>
      <c r="C230">
        <f>'02_Loan_Portfolio'!N230</f>
        <v>1.4999999999999999E-2</v>
      </c>
      <c r="D230">
        <f>'02_Loan_Portfolio'!R230</f>
        <v>2.2499999999999999E-2</v>
      </c>
      <c r="E230">
        <f>'02_Loan_Portfolio'!O230</f>
        <v>0.67507899999999998</v>
      </c>
      <c r="F230">
        <f>'02_Loan_Portfolio'!P230</f>
        <v>257955884734</v>
      </c>
      <c r="G230">
        <f t="shared" si="9"/>
        <v>1.4999999999999999E-2</v>
      </c>
      <c r="H230">
        <f t="shared" si="10"/>
        <v>2612109010.6551595</v>
      </c>
      <c r="I230" t="str">
        <f t="shared" si="11"/>
        <v>12M ECL</v>
      </c>
    </row>
    <row r="231" spans="1:9">
      <c r="A231" t="str">
        <f>'02_Loan_Portfolio'!A231</f>
        <v>LN00230</v>
      </c>
      <c r="B231">
        <f>'02_Loan_Portfolio'!Q231</f>
        <v>1</v>
      </c>
      <c r="C231">
        <f>'02_Loan_Portfolio'!N231</f>
        <v>4.5103999999999998E-2</v>
      </c>
      <c r="D231">
        <f>'02_Loan_Portfolio'!R231</f>
        <v>6.7655999999999994E-2</v>
      </c>
      <c r="E231">
        <f>'02_Loan_Portfolio'!O231</f>
        <v>0.34925699999999998</v>
      </c>
      <c r="F231">
        <f>'02_Loan_Portfolio'!P231</f>
        <v>22708761203</v>
      </c>
      <c r="G231">
        <f t="shared" si="9"/>
        <v>4.5103999999999998E-2</v>
      </c>
      <c r="H231">
        <f t="shared" si="10"/>
        <v>357728565.67282116</v>
      </c>
      <c r="I231" t="str">
        <f t="shared" si="11"/>
        <v>12M ECL</v>
      </c>
    </row>
    <row r="232" spans="1:9">
      <c r="A232" t="str">
        <f>'02_Loan_Portfolio'!A232</f>
        <v>LN00231</v>
      </c>
      <c r="B232">
        <f>'02_Loan_Portfolio'!Q232</f>
        <v>1</v>
      </c>
      <c r="C232">
        <f>'02_Loan_Portfolio'!N232</f>
        <v>3.1372999999999998E-2</v>
      </c>
      <c r="D232">
        <f>'02_Loan_Portfolio'!R232</f>
        <v>4.7059999999999998E-2</v>
      </c>
      <c r="E232">
        <f>'02_Loan_Portfolio'!O232</f>
        <v>0.56864099999999995</v>
      </c>
      <c r="F232">
        <f>'02_Loan_Portfolio'!P232</f>
        <v>21267378194</v>
      </c>
      <c r="G232">
        <f t="shared" si="9"/>
        <v>3.1372999999999998E-2</v>
      </c>
      <c r="H232">
        <f t="shared" si="10"/>
        <v>379409476.00699311</v>
      </c>
      <c r="I232" t="str">
        <f t="shared" si="11"/>
        <v>12M ECL</v>
      </c>
    </row>
    <row r="233" spans="1:9">
      <c r="A233" t="str">
        <f>'02_Loan_Portfolio'!A233</f>
        <v>LN00232</v>
      </c>
      <c r="B233">
        <f>'02_Loan_Portfolio'!Q233</f>
        <v>1</v>
      </c>
      <c r="C233">
        <f>'02_Loan_Portfolio'!N233</f>
        <v>1.3679E-2</v>
      </c>
      <c r="D233">
        <f>'02_Loan_Portfolio'!R233</f>
        <v>2.0518999999999999E-2</v>
      </c>
      <c r="E233">
        <f>'02_Loan_Portfolio'!O233</f>
        <v>0.50806399999999996</v>
      </c>
      <c r="F233">
        <f>'02_Loan_Portfolio'!P233</f>
        <v>694061641534</v>
      </c>
      <c r="G233">
        <f t="shared" si="9"/>
        <v>1.3679E-2</v>
      </c>
      <c r="H233">
        <f t="shared" si="10"/>
        <v>4823594771.2565918</v>
      </c>
      <c r="I233" t="str">
        <f t="shared" si="11"/>
        <v>12M ECL</v>
      </c>
    </row>
    <row r="234" spans="1:9">
      <c r="A234" t="str">
        <f>'02_Loan_Portfolio'!A234</f>
        <v>LN00233</v>
      </c>
      <c r="B234">
        <f>'02_Loan_Portfolio'!Q234</f>
        <v>1</v>
      </c>
      <c r="C234">
        <f>'02_Loan_Portfolio'!N234</f>
        <v>0.29697000000000001</v>
      </c>
      <c r="D234">
        <f>'02_Loan_Portfolio'!R234</f>
        <v>0.44545400000000002</v>
      </c>
      <c r="E234">
        <f>'02_Loan_Portfolio'!O234</f>
        <v>0.60945499999999997</v>
      </c>
      <c r="F234">
        <f>'02_Loan_Portfolio'!P234</f>
        <v>792533559342</v>
      </c>
      <c r="G234">
        <f t="shared" si="9"/>
        <v>0.29697000000000001</v>
      </c>
      <c r="H234">
        <f t="shared" si="10"/>
        <v>143440531095.19498</v>
      </c>
      <c r="I234" t="str">
        <f t="shared" si="11"/>
        <v>12M ECL</v>
      </c>
    </row>
    <row r="235" spans="1:9">
      <c r="A235" t="str">
        <f>'02_Loan_Portfolio'!A235</f>
        <v>LN00234</v>
      </c>
      <c r="B235">
        <f>'02_Loan_Portfolio'!Q235</f>
        <v>1</v>
      </c>
      <c r="C235">
        <f>'02_Loan_Portfolio'!N235</f>
        <v>0.12574199999999999</v>
      </c>
      <c r="D235">
        <f>'02_Loan_Portfolio'!R235</f>
        <v>0.188613</v>
      </c>
      <c r="E235">
        <f>'02_Loan_Portfolio'!O235</f>
        <v>0.48114200000000001</v>
      </c>
      <c r="F235">
        <f>'02_Loan_Portfolio'!P235</f>
        <v>241290323954</v>
      </c>
      <c r="G235">
        <f t="shared" si="9"/>
        <v>0.12574199999999999</v>
      </c>
      <c r="H235">
        <f t="shared" si="10"/>
        <v>14598006053.497957</v>
      </c>
      <c r="I235" t="str">
        <f t="shared" si="11"/>
        <v>12M ECL</v>
      </c>
    </row>
    <row r="236" spans="1:9">
      <c r="A236" t="str">
        <f>'02_Loan_Portfolio'!A236</f>
        <v>LN00235</v>
      </c>
      <c r="B236">
        <f>'02_Loan_Portfolio'!Q236</f>
        <v>1</v>
      </c>
      <c r="C236">
        <f>'02_Loan_Portfolio'!N236</f>
        <v>7.2663000000000005E-2</v>
      </c>
      <c r="D236">
        <f>'02_Loan_Portfolio'!R236</f>
        <v>0.10899499999999999</v>
      </c>
      <c r="E236">
        <f>'02_Loan_Portfolio'!O236</f>
        <v>0.693133</v>
      </c>
      <c r="F236">
        <f>'02_Loan_Portfolio'!P236</f>
        <v>42168038474</v>
      </c>
      <c r="G236">
        <f t="shared" si="9"/>
        <v>7.2663000000000005E-2</v>
      </c>
      <c r="H236">
        <f t="shared" si="10"/>
        <v>2123798451.9598215</v>
      </c>
      <c r="I236" t="str">
        <f t="shared" si="11"/>
        <v>12M ECL</v>
      </c>
    </row>
    <row r="237" spans="1:9">
      <c r="A237" t="str">
        <f>'02_Loan_Portfolio'!A237</f>
        <v>LN00236</v>
      </c>
      <c r="B237">
        <f>'02_Loan_Portfolio'!Q237</f>
        <v>2</v>
      </c>
      <c r="C237">
        <f>'02_Loan_Portfolio'!N237</f>
        <v>2.69E-2</v>
      </c>
      <c r="D237">
        <f>'02_Loan_Portfolio'!R237</f>
        <v>8.0700999999999995E-2</v>
      </c>
      <c r="E237">
        <f>'02_Loan_Portfolio'!O237</f>
        <v>0.64763099999999996</v>
      </c>
      <c r="F237">
        <f>'02_Loan_Portfolio'!P237</f>
        <v>2519546363237</v>
      </c>
      <c r="G237">
        <f t="shared" si="9"/>
        <v>8.0700999999999995E-2</v>
      </c>
      <c r="H237">
        <f t="shared" si="10"/>
        <v>131682753629.43275</v>
      </c>
      <c r="I237" t="str">
        <f t="shared" si="11"/>
        <v>Lifetime ECL</v>
      </c>
    </row>
    <row r="238" spans="1:9">
      <c r="A238" t="str">
        <f>'02_Loan_Portfolio'!A238</f>
        <v>LN00237</v>
      </c>
      <c r="B238">
        <f>'02_Loan_Portfolio'!Q238</f>
        <v>2</v>
      </c>
      <c r="C238">
        <f>'02_Loan_Portfolio'!N238</f>
        <v>4.0280000000000003E-3</v>
      </c>
      <c r="D238">
        <f>'02_Loan_Portfolio'!R238</f>
        <v>1.2083999999999999E-2</v>
      </c>
      <c r="E238">
        <f>'02_Loan_Portfolio'!O238</f>
        <v>0.51313699999999995</v>
      </c>
      <c r="F238">
        <f>'02_Loan_Portfolio'!P238</f>
        <v>3199256220906</v>
      </c>
      <c r="G238">
        <f t="shared" si="9"/>
        <v>1.2083999999999999E-2</v>
      </c>
      <c r="H238">
        <f t="shared" si="10"/>
        <v>19837780039.236374</v>
      </c>
      <c r="I238" t="str">
        <f t="shared" si="11"/>
        <v>Lifetime ECL</v>
      </c>
    </row>
    <row r="239" spans="1:9">
      <c r="A239" t="str">
        <f>'02_Loan_Portfolio'!A239</f>
        <v>LN00238</v>
      </c>
      <c r="B239">
        <f>'02_Loan_Portfolio'!Q239</f>
        <v>2</v>
      </c>
      <c r="C239">
        <f>'02_Loan_Portfolio'!N239</f>
        <v>0.19</v>
      </c>
      <c r="D239">
        <f>'02_Loan_Portfolio'!R239</f>
        <v>0.56999999999999995</v>
      </c>
      <c r="E239">
        <f>'02_Loan_Portfolio'!O239</f>
        <v>0.490809</v>
      </c>
      <c r="F239">
        <f>'02_Loan_Portfolio'!P239</f>
        <v>3066764211215</v>
      </c>
      <c r="G239">
        <f t="shared" si="9"/>
        <v>0.56999999999999995</v>
      </c>
      <c r="H239">
        <f t="shared" si="10"/>
        <v>857961421173.06702</v>
      </c>
      <c r="I239" t="str">
        <f t="shared" si="11"/>
        <v>Lifetime ECL</v>
      </c>
    </row>
    <row r="240" spans="1:9">
      <c r="A240" t="str">
        <f>'02_Loan_Portfolio'!A240</f>
        <v>LN00239</v>
      </c>
      <c r="B240">
        <f>'02_Loan_Portfolio'!Q240</f>
        <v>1</v>
      </c>
      <c r="C240">
        <f>'02_Loan_Portfolio'!N240</f>
        <v>0.39314300000000002</v>
      </c>
      <c r="D240">
        <f>'02_Loan_Portfolio'!R240</f>
        <v>0.58971399999999996</v>
      </c>
      <c r="E240">
        <f>'02_Loan_Portfolio'!O240</f>
        <v>0.50650300000000004</v>
      </c>
      <c r="F240">
        <f>'02_Loan_Portfolio'!P240</f>
        <v>1948277084113</v>
      </c>
      <c r="G240">
        <f t="shared" si="9"/>
        <v>0.39314300000000002</v>
      </c>
      <c r="H240">
        <f t="shared" si="10"/>
        <v>387956731429.12799</v>
      </c>
      <c r="I240" t="str">
        <f t="shared" si="11"/>
        <v>12M ECL</v>
      </c>
    </row>
    <row r="241" spans="1:9">
      <c r="A241" t="str">
        <f>'02_Loan_Portfolio'!A241</f>
        <v>LN00240</v>
      </c>
      <c r="B241">
        <f>'02_Loan_Portfolio'!Q241</f>
        <v>1</v>
      </c>
      <c r="C241">
        <f>'02_Loan_Portfolio'!N241</f>
        <v>6.5278000000000003E-2</v>
      </c>
      <c r="D241">
        <f>'02_Loan_Portfolio'!R241</f>
        <v>9.7917000000000004E-2</v>
      </c>
      <c r="E241">
        <f>'02_Loan_Portfolio'!O241</f>
        <v>0.63731599999999999</v>
      </c>
      <c r="F241">
        <f>'02_Loan_Portfolio'!P241</f>
        <v>485814384958</v>
      </c>
      <c r="G241">
        <f t="shared" si="9"/>
        <v>6.5278000000000003E-2</v>
      </c>
      <c r="H241">
        <f t="shared" si="10"/>
        <v>20211196840.649792</v>
      </c>
      <c r="I241" t="str">
        <f t="shared" si="11"/>
        <v>12M ECL</v>
      </c>
    </row>
    <row r="242" spans="1:9">
      <c r="A242" t="str">
        <f>'02_Loan_Portfolio'!A242</f>
        <v>LN00241</v>
      </c>
      <c r="B242">
        <f>'02_Loan_Portfolio'!Q242</f>
        <v>2</v>
      </c>
      <c r="C242">
        <f>'02_Loan_Portfolio'!N242</f>
        <v>0.19952600000000001</v>
      </c>
      <c r="D242">
        <f>'02_Loan_Portfolio'!R242</f>
        <v>0.59857899999999997</v>
      </c>
      <c r="E242">
        <f>'02_Loan_Portfolio'!O242</f>
        <v>0.54129300000000002</v>
      </c>
      <c r="F242">
        <f>'02_Loan_Portfolio'!P242</f>
        <v>194061423981</v>
      </c>
      <c r="G242">
        <f t="shared" si="9"/>
        <v>0.59857899999999997</v>
      </c>
      <c r="H242">
        <f t="shared" si="10"/>
        <v>62877186570.151337</v>
      </c>
      <c r="I242" t="str">
        <f t="shared" si="11"/>
        <v>Lifetime ECL</v>
      </c>
    </row>
    <row r="243" spans="1:9">
      <c r="A243" t="str">
        <f>'02_Loan_Portfolio'!A243</f>
        <v>LN00242</v>
      </c>
      <c r="B243">
        <f>'02_Loan_Portfolio'!Q243</f>
        <v>2</v>
      </c>
      <c r="C243">
        <f>'02_Loan_Portfolio'!N243</f>
        <v>0.109011</v>
      </c>
      <c r="D243">
        <f>'02_Loan_Portfolio'!R243</f>
        <v>0.32703399999999999</v>
      </c>
      <c r="E243">
        <f>'02_Loan_Portfolio'!O243</f>
        <v>0.63530500000000001</v>
      </c>
      <c r="F243">
        <f>'02_Loan_Portfolio'!P243</f>
        <v>3111247212319</v>
      </c>
      <c r="G243">
        <f t="shared" si="9"/>
        <v>0.32703399999999999</v>
      </c>
      <c r="H243">
        <f t="shared" si="10"/>
        <v>646412431733.64697</v>
      </c>
      <c r="I243" t="str">
        <f t="shared" si="11"/>
        <v>Lifetime ECL</v>
      </c>
    </row>
    <row r="244" spans="1:9">
      <c r="A244" t="str">
        <f>'02_Loan_Portfolio'!A244</f>
        <v>LN00243</v>
      </c>
      <c r="B244">
        <f>'02_Loan_Portfolio'!Q244</f>
        <v>1</v>
      </c>
      <c r="C244">
        <f>'02_Loan_Portfolio'!N244</f>
        <v>0.12</v>
      </c>
      <c r="D244">
        <f>'02_Loan_Portfolio'!R244</f>
        <v>0.18</v>
      </c>
      <c r="E244">
        <f>'02_Loan_Portfolio'!O244</f>
        <v>0.44999400000000001</v>
      </c>
      <c r="F244">
        <f>'02_Loan_Portfolio'!P244</f>
        <v>2233051034176</v>
      </c>
      <c r="G244">
        <f t="shared" si="9"/>
        <v>0.12</v>
      </c>
      <c r="H244">
        <f t="shared" si="10"/>
        <v>120583148048.75938</v>
      </c>
      <c r="I244" t="str">
        <f t="shared" si="11"/>
        <v>12M ECL</v>
      </c>
    </row>
    <row r="245" spans="1:9">
      <c r="A245" t="str">
        <f>'02_Loan_Portfolio'!A245</f>
        <v>LN00244</v>
      </c>
      <c r="B245">
        <f>'02_Loan_Portfolio'!Q245</f>
        <v>2</v>
      </c>
      <c r="C245">
        <f>'02_Loan_Portfolio'!N245</f>
        <v>4.4997000000000002E-2</v>
      </c>
      <c r="D245">
        <f>'02_Loan_Portfolio'!R245</f>
        <v>0.134991</v>
      </c>
      <c r="E245">
        <f>'02_Loan_Portfolio'!O245</f>
        <v>0.636629</v>
      </c>
      <c r="F245">
        <f>'02_Loan_Portfolio'!P245</f>
        <v>2686565430870</v>
      </c>
      <c r="G245">
        <f t="shared" si="9"/>
        <v>0.134991</v>
      </c>
      <c r="H245">
        <f t="shared" si="10"/>
        <v>230881244488.8873</v>
      </c>
      <c r="I245" t="str">
        <f t="shared" si="11"/>
        <v>Lifetime ECL</v>
      </c>
    </row>
    <row r="246" spans="1:9">
      <c r="A246" t="str">
        <f>'02_Loan_Portfolio'!A246</f>
        <v>LN00245</v>
      </c>
      <c r="B246">
        <f>'02_Loan_Portfolio'!Q246</f>
        <v>1</v>
      </c>
      <c r="C246">
        <f>'02_Loan_Portfolio'!N246</f>
        <v>1.2586E-2</v>
      </c>
      <c r="D246">
        <f>'02_Loan_Portfolio'!R246</f>
        <v>1.8879E-2</v>
      </c>
      <c r="E246">
        <f>'02_Loan_Portfolio'!O246</f>
        <v>0.582619</v>
      </c>
      <c r="F246">
        <f>'02_Loan_Portfolio'!P246</f>
        <v>285734104704</v>
      </c>
      <c r="G246">
        <f t="shared" si="9"/>
        <v>1.2586E-2</v>
      </c>
      <c r="H246">
        <f t="shared" si="10"/>
        <v>2095243253.5347216</v>
      </c>
      <c r="I246" t="str">
        <f t="shared" si="11"/>
        <v>12M ECL</v>
      </c>
    </row>
    <row r="247" spans="1:9">
      <c r="A247" t="str">
        <f>'02_Loan_Portfolio'!A247</f>
        <v>LN00246</v>
      </c>
      <c r="B247">
        <f>'02_Loan_Portfolio'!Q247</f>
        <v>1</v>
      </c>
      <c r="C247">
        <f>'02_Loan_Portfolio'!N247</f>
        <v>2.5000000000000001E-2</v>
      </c>
      <c r="D247">
        <f>'02_Loan_Portfolio'!R247</f>
        <v>3.7499999999999999E-2</v>
      </c>
      <c r="E247">
        <f>'02_Loan_Portfolio'!O247</f>
        <v>0.48243999999999998</v>
      </c>
      <c r="F247">
        <f>'02_Loan_Portfolio'!P247</f>
        <v>2932060029639</v>
      </c>
      <c r="G247">
        <f t="shared" si="9"/>
        <v>2.5000000000000001E-2</v>
      </c>
      <c r="H247">
        <f t="shared" si="10"/>
        <v>35363576017.475983</v>
      </c>
      <c r="I247" t="str">
        <f t="shared" si="11"/>
        <v>12M ECL</v>
      </c>
    </row>
    <row r="248" spans="1:9">
      <c r="A248" t="str">
        <f>'02_Loan_Portfolio'!A248</f>
        <v>LN00247</v>
      </c>
      <c r="B248">
        <f>'02_Loan_Portfolio'!Q248</f>
        <v>1</v>
      </c>
      <c r="C248">
        <f>'02_Loan_Portfolio'!N248</f>
        <v>2.5000000000000001E-2</v>
      </c>
      <c r="D248">
        <f>'02_Loan_Portfolio'!R248</f>
        <v>3.7499999999999999E-2</v>
      </c>
      <c r="E248">
        <f>'02_Loan_Portfolio'!O248</f>
        <v>0.54847000000000001</v>
      </c>
      <c r="F248">
        <f>'02_Loan_Portfolio'!P248</f>
        <v>3271972405878</v>
      </c>
      <c r="G248">
        <f t="shared" si="9"/>
        <v>2.5000000000000001E-2</v>
      </c>
      <c r="H248">
        <f t="shared" si="10"/>
        <v>44864467636.297668</v>
      </c>
      <c r="I248" t="str">
        <f t="shared" si="11"/>
        <v>12M ECL</v>
      </c>
    </row>
    <row r="249" spans="1:9">
      <c r="A249" t="str">
        <f>'02_Loan_Portfolio'!A249</f>
        <v>LN00248</v>
      </c>
      <c r="B249">
        <f>'02_Loan_Portfolio'!Q249</f>
        <v>1</v>
      </c>
      <c r="C249">
        <f>'02_Loan_Portfolio'!N249</f>
        <v>8.7887000000000007E-2</v>
      </c>
      <c r="D249">
        <f>'02_Loan_Portfolio'!R249</f>
        <v>0.13183</v>
      </c>
      <c r="E249">
        <f>'02_Loan_Portfolio'!O249</f>
        <v>0.650702</v>
      </c>
      <c r="F249">
        <f>'02_Loan_Portfolio'!P249</f>
        <v>2606452752740</v>
      </c>
      <c r="G249">
        <f t="shared" si="9"/>
        <v>8.7887000000000007E-2</v>
      </c>
      <c r="H249">
        <f t="shared" si="10"/>
        <v>149058462967.82147</v>
      </c>
      <c r="I249" t="str">
        <f t="shared" si="11"/>
        <v>12M ECL</v>
      </c>
    </row>
    <row r="250" spans="1:9">
      <c r="A250" t="str">
        <f>'02_Loan_Portfolio'!A250</f>
        <v>LN00249</v>
      </c>
      <c r="B250">
        <f>'02_Loan_Portfolio'!Q250</f>
        <v>1</v>
      </c>
      <c r="C250">
        <f>'02_Loan_Portfolio'!N250</f>
        <v>0.20499999999999999</v>
      </c>
      <c r="D250">
        <f>'02_Loan_Portfolio'!R250</f>
        <v>0.3075</v>
      </c>
      <c r="E250">
        <f>'02_Loan_Portfolio'!O250</f>
        <v>0.55184699999999998</v>
      </c>
      <c r="F250">
        <f>'02_Loan_Portfolio'!P250</f>
        <v>3267562787605</v>
      </c>
      <c r="G250">
        <f t="shared" si="9"/>
        <v>0.20499999999999999</v>
      </c>
      <c r="H250">
        <f t="shared" si="10"/>
        <v>369654917938.54852</v>
      </c>
      <c r="I250" t="str">
        <f t="shared" si="11"/>
        <v>12M ECL</v>
      </c>
    </row>
    <row r="251" spans="1:9">
      <c r="A251" t="str">
        <f>'02_Loan_Portfolio'!A251</f>
        <v>LN00250</v>
      </c>
      <c r="B251">
        <f>'02_Loan_Portfolio'!Q251</f>
        <v>1</v>
      </c>
      <c r="C251">
        <f>'02_Loan_Portfolio'!N251</f>
        <v>8.4232000000000001E-2</v>
      </c>
      <c r="D251">
        <f>'02_Loan_Portfolio'!R251</f>
        <v>0.12634799999999999</v>
      </c>
      <c r="E251">
        <f>'02_Loan_Portfolio'!O251</f>
        <v>0.40843499999999999</v>
      </c>
      <c r="F251">
        <f>'02_Loan_Portfolio'!P251</f>
        <v>2783204621993</v>
      </c>
      <c r="G251">
        <f t="shared" si="9"/>
        <v>8.4232000000000001E-2</v>
      </c>
      <c r="H251">
        <f t="shared" si="10"/>
        <v>95751414999.541534</v>
      </c>
      <c r="I251" t="str">
        <f t="shared" si="11"/>
        <v>12M ECL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12"/>
  <sheetViews>
    <sheetView workbookViewId="0"/>
  </sheetViews>
  <sheetFormatPr defaultRowHeight="14.25"/>
  <cols>
    <col min="1" max="7" width="20" customWidth="1"/>
  </cols>
  <sheetData>
    <row r="1" spans="1:7" ht="18">
      <c r="A1" s="15" t="s">
        <v>380</v>
      </c>
      <c r="B1" s="18"/>
      <c r="C1" s="18"/>
      <c r="D1" s="19"/>
      <c r="E1" s="19"/>
      <c r="F1" s="18"/>
      <c r="G1" s="16"/>
    </row>
    <row r="3" spans="1:7" ht="30">
      <c r="A3" s="1" t="s">
        <v>381</v>
      </c>
      <c r="B3" s="1" t="s">
        <v>382</v>
      </c>
      <c r="C3" s="1" t="s">
        <v>383</v>
      </c>
      <c r="D3" s="1" t="s">
        <v>384</v>
      </c>
      <c r="E3" s="1" t="s">
        <v>385</v>
      </c>
      <c r="F3" s="1" t="s">
        <v>386</v>
      </c>
      <c r="G3" s="1" t="s">
        <v>387</v>
      </c>
    </row>
    <row r="4" spans="1:7">
      <c r="A4" t="s">
        <v>388</v>
      </c>
      <c r="B4">
        <v>0</v>
      </c>
      <c r="C4">
        <v>0</v>
      </c>
      <c r="D4">
        <v>0</v>
      </c>
      <c r="E4">
        <v>0</v>
      </c>
      <c r="F4">
        <v>1</v>
      </c>
      <c r="G4">
        <v>1</v>
      </c>
    </row>
    <row r="5" spans="1:7">
      <c r="A5" t="s">
        <v>24</v>
      </c>
      <c r="B5">
        <v>-2</v>
      </c>
      <c r="C5">
        <v>1</v>
      </c>
      <c r="D5">
        <v>4</v>
      </c>
      <c r="E5">
        <v>-5</v>
      </c>
      <c r="F5">
        <v>1.35</v>
      </c>
      <c r="G5">
        <v>1.1000000000000001</v>
      </c>
    </row>
    <row r="6" spans="1:7">
      <c r="A6" t="s">
        <v>26</v>
      </c>
      <c r="B6">
        <v>-4</v>
      </c>
      <c r="C6">
        <v>2</v>
      </c>
      <c r="D6">
        <v>8</v>
      </c>
      <c r="E6">
        <v>-15</v>
      </c>
      <c r="F6">
        <v>1.9</v>
      </c>
      <c r="G6">
        <v>1.3</v>
      </c>
    </row>
    <row r="9" spans="1:7" ht="15">
      <c r="A9" s="1" t="s">
        <v>381</v>
      </c>
      <c r="B9" s="1" t="s">
        <v>389</v>
      </c>
      <c r="C9" s="1" t="s">
        <v>390</v>
      </c>
      <c r="D9" s="1" t="s">
        <v>391</v>
      </c>
      <c r="E9" s="1" t="s">
        <v>392</v>
      </c>
      <c r="F9" s="1" t="s">
        <v>393</v>
      </c>
    </row>
    <row r="10" spans="1:7">
      <c r="A10" t="str">
        <f>A4</f>
        <v>Base</v>
      </c>
      <c r="B10">
        <f>MIN(99%,SUMPRODUCT('02_Loan_Portfolio'!N2:N251,'02_Loan_Portfolio'!P2:P251)/SUM('02_Loan_Portfolio'!P2:P251)*F4)</f>
        <v>8.8887509724670521E-2</v>
      </c>
      <c r="C10">
        <f>MIN(95%,SUMPRODUCT('02_Loan_Portfolio'!O2:O251,'02_Loan_Portfolio'!P2:P251)/SUM('02_Loan_Portfolio'!P2:P251)*G4)</f>
        <v>0.55041643339678425</v>
      </c>
      <c r="D10">
        <f>SUM('02_Loan_Portfolio'!P2:P251)</f>
        <v>427296172686485</v>
      </c>
      <c r="E10">
        <f>B10*C10*D10</f>
        <v>20905527666476.828</v>
      </c>
      <c r="F10">
        <f>E10/$E$10-1</f>
        <v>0</v>
      </c>
    </row>
    <row r="11" spans="1:7">
      <c r="A11" t="str">
        <f>A5</f>
        <v>Mild Stress</v>
      </c>
      <c r="B11">
        <f>MIN(99%,SUMPRODUCT('02_Loan_Portfolio'!N2:N251,'02_Loan_Portfolio'!P2:P251)/SUM('02_Loan_Portfolio'!P2:P251)*F5)</f>
        <v>0.11999813812830522</v>
      </c>
      <c r="C11">
        <f>MIN(95%,SUMPRODUCT('02_Loan_Portfolio'!O2:O251,'02_Loan_Portfolio'!P2:P251)/SUM('02_Loan_Portfolio'!P2:P251)*G5)</f>
        <v>0.60545807673646268</v>
      </c>
      <c r="D11">
        <f>SUM('02_Loan_Portfolio'!P2:P251)</f>
        <v>427296172686485</v>
      </c>
      <c r="E11">
        <f>B11*C11*D11</f>
        <v>31044708584718.094</v>
      </c>
      <c r="F11">
        <f>E11/$E$10-1</f>
        <v>0.4850000000000001</v>
      </c>
    </row>
    <row r="12" spans="1:7">
      <c r="A12" t="str">
        <f>A6</f>
        <v>Severe Stress</v>
      </c>
      <c r="B12">
        <f>MIN(99%,SUMPRODUCT('02_Loan_Portfolio'!N2:N251,'02_Loan_Portfolio'!P2:P251)/SUM('02_Loan_Portfolio'!P2:P251)*F6)</f>
        <v>0.16888626847687399</v>
      </c>
      <c r="C12">
        <f>MIN(95%,SUMPRODUCT('02_Loan_Portfolio'!O2:O251,'02_Loan_Portfolio'!P2:P251)/SUM('02_Loan_Portfolio'!P2:P251)*G6)</f>
        <v>0.71554136341581953</v>
      </c>
      <c r="D12">
        <f>SUM('02_Loan_Portfolio'!P2:P251)</f>
        <v>427296172686485</v>
      </c>
      <c r="E12">
        <f>B12*C12*D12</f>
        <v>51636653336197.773</v>
      </c>
      <c r="F12">
        <f>E12/$E$10-1</f>
        <v>1.4700000000000002</v>
      </c>
    </row>
  </sheetData>
  <mergeCells count="1">
    <mergeCell ref="A1:G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253"/>
  <sheetViews>
    <sheetView workbookViewId="0"/>
  </sheetViews>
  <sheetFormatPr defaultRowHeight="14.25"/>
  <cols>
    <col min="1" max="7" width="18" customWidth="1"/>
  </cols>
  <sheetData>
    <row r="1" spans="1:7" ht="18">
      <c r="A1" s="15" t="s">
        <v>394</v>
      </c>
      <c r="B1" s="16"/>
      <c r="C1" s="16"/>
      <c r="D1" s="16"/>
      <c r="E1" s="16"/>
      <c r="F1" s="16"/>
    </row>
    <row r="3" spans="1:7" ht="15">
      <c r="A3" s="1" t="s">
        <v>32</v>
      </c>
      <c r="B3" s="1" t="s">
        <v>395</v>
      </c>
      <c r="C3" s="1" t="s">
        <v>43</v>
      </c>
      <c r="D3" s="1" t="s">
        <v>41</v>
      </c>
      <c r="E3" s="1" t="s">
        <v>42</v>
      </c>
      <c r="F3" s="1" t="s">
        <v>396</v>
      </c>
      <c r="G3" s="1" t="s">
        <v>397</v>
      </c>
    </row>
    <row r="4" spans="1:7">
      <c r="A4" t="str">
        <f>'02_Loan_Portfolio'!A2</f>
        <v>LN00001</v>
      </c>
      <c r="B4" t="str">
        <f>'02_Loan_Portfolio'!E2</f>
        <v>BB</v>
      </c>
      <c r="C4">
        <f>'02_Loan_Portfolio'!L2</f>
        <v>0</v>
      </c>
      <c r="D4">
        <f>'02_Loan_Portfolio'!J2</f>
        <v>2.343</v>
      </c>
      <c r="E4">
        <f>'02_Loan_Portfolio'!K2</f>
        <v>1.405</v>
      </c>
      <c r="F4" t="str">
        <f t="shared" ref="F4:F67" si="0">IF(OR(C4&gt;=30,D4&lt;1.1,E4&gt;5),"Red",IF(OR(C4&gt;0,D4&lt;1.3,E4&gt;4),"Amber","Green"))</f>
        <v>Green</v>
      </c>
      <c r="G4" t="str">
        <f t="shared" ref="G4:G67" si="1">IF(C4&gt;=30,"DPD deterioration",IF(D4&lt;1.1,"DSCR weakness",IF(E4&gt;5,"High leverage","Normal")))</f>
        <v>Normal</v>
      </c>
    </row>
    <row r="5" spans="1:7">
      <c r="A5" t="str">
        <f>'02_Loan_Portfolio'!A3</f>
        <v>LN00002</v>
      </c>
      <c r="B5" t="str">
        <f>'02_Loan_Portfolio'!E3</f>
        <v>BBB</v>
      </c>
      <c r="C5">
        <f>'02_Loan_Portfolio'!L3</f>
        <v>0</v>
      </c>
      <c r="D5">
        <f>'02_Loan_Portfolio'!J3</f>
        <v>1.6279999999999999</v>
      </c>
      <c r="E5">
        <f>'02_Loan_Portfolio'!K3</f>
        <v>3.887</v>
      </c>
      <c r="F5" t="str">
        <f t="shared" si="0"/>
        <v>Green</v>
      </c>
      <c r="G5" t="str">
        <f t="shared" si="1"/>
        <v>Normal</v>
      </c>
    </row>
    <row r="6" spans="1:7">
      <c r="A6" t="str">
        <f>'02_Loan_Portfolio'!A4</f>
        <v>LN00003</v>
      </c>
      <c r="B6" t="str">
        <f>'02_Loan_Portfolio'!E4</f>
        <v>B</v>
      </c>
      <c r="C6">
        <f>'02_Loan_Portfolio'!L4</f>
        <v>0</v>
      </c>
      <c r="D6">
        <f>'02_Loan_Portfolio'!J4</f>
        <v>1.1299999999999999</v>
      </c>
      <c r="E6">
        <f>'02_Loan_Portfolio'!K4</f>
        <v>4.3860000000000001</v>
      </c>
      <c r="F6" t="str">
        <f t="shared" si="0"/>
        <v>Amber</v>
      </c>
      <c r="G6" t="str">
        <f t="shared" si="1"/>
        <v>Normal</v>
      </c>
    </row>
    <row r="7" spans="1:7">
      <c r="A7" t="str">
        <f>'02_Loan_Portfolio'!A5</f>
        <v>LN00004</v>
      </c>
      <c r="B7" t="str">
        <f>'02_Loan_Portfolio'!E5</f>
        <v>A</v>
      </c>
      <c r="C7">
        <f>'02_Loan_Portfolio'!L5</f>
        <v>0</v>
      </c>
      <c r="D7">
        <f>'02_Loan_Portfolio'!J5</f>
        <v>1.909</v>
      </c>
      <c r="E7">
        <f>'02_Loan_Portfolio'!K5</f>
        <v>4.2679999999999998</v>
      </c>
      <c r="F7" t="str">
        <f t="shared" si="0"/>
        <v>Amber</v>
      </c>
      <c r="G7" t="str">
        <f t="shared" si="1"/>
        <v>Normal</v>
      </c>
    </row>
    <row r="8" spans="1:7">
      <c r="A8" t="str">
        <f>'02_Loan_Portfolio'!A6</f>
        <v>LN00005</v>
      </c>
      <c r="B8" t="str">
        <f>'02_Loan_Portfolio'!E6</f>
        <v>BBB</v>
      </c>
      <c r="C8">
        <f>'02_Loan_Portfolio'!L6</f>
        <v>0</v>
      </c>
      <c r="D8">
        <f>'02_Loan_Portfolio'!J6</f>
        <v>1.8959999999999999</v>
      </c>
      <c r="E8">
        <f>'02_Loan_Portfolio'!K6</f>
        <v>3.093</v>
      </c>
      <c r="F8" t="str">
        <f t="shared" si="0"/>
        <v>Green</v>
      </c>
      <c r="G8" t="str">
        <f t="shared" si="1"/>
        <v>Normal</v>
      </c>
    </row>
    <row r="9" spans="1:7">
      <c r="A9" t="str">
        <f>'02_Loan_Portfolio'!A7</f>
        <v>LN00006</v>
      </c>
      <c r="B9" t="str">
        <f>'02_Loan_Portfolio'!E7</f>
        <v>BBB</v>
      </c>
      <c r="C9">
        <f>'02_Loan_Portfolio'!L7</f>
        <v>0</v>
      </c>
      <c r="D9">
        <f>'02_Loan_Portfolio'!J7</f>
        <v>1.1439999999999999</v>
      </c>
      <c r="E9">
        <f>'02_Loan_Portfolio'!K7</f>
        <v>4.0049999999999999</v>
      </c>
      <c r="F9" t="str">
        <f t="shared" si="0"/>
        <v>Amber</v>
      </c>
      <c r="G9" t="str">
        <f t="shared" si="1"/>
        <v>Normal</v>
      </c>
    </row>
    <row r="10" spans="1:7">
      <c r="A10" t="str">
        <f>'02_Loan_Portfolio'!A8</f>
        <v>LN00007</v>
      </c>
      <c r="B10" t="str">
        <f>'02_Loan_Portfolio'!E8</f>
        <v>BB</v>
      </c>
      <c r="C10">
        <f>'02_Loan_Portfolio'!L8</f>
        <v>35</v>
      </c>
      <c r="D10">
        <f>'02_Loan_Portfolio'!J8</f>
        <v>1.883</v>
      </c>
      <c r="E10">
        <f>'02_Loan_Portfolio'!K8</f>
        <v>0.2</v>
      </c>
      <c r="F10" t="str">
        <f t="shared" si="0"/>
        <v>Red</v>
      </c>
      <c r="G10" t="str">
        <f t="shared" si="1"/>
        <v>DPD deterioration</v>
      </c>
    </row>
    <row r="11" spans="1:7">
      <c r="A11" t="str">
        <f>'02_Loan_Portfolio'!A9</f>
        <v>LN00008</v>
      </c>
      <c r="B11" t="str">
        <f>'02_Loan_Portfolio'!E9</f>
        <v>BBB</v>
      </c>
      <c r="C11">
        <f>'02_Loan_Portfolio'!L9</f>
        <v>0</v>
      </c>
      <c r="D11">
        <f>'02_Loan_Portfolio'!J9</f>
        <v>1.4550000000000001</v>
      </c>
      <c r="E11">
        <f>'02_Loan_Portfolio'!K9</f>
        <v>3.1970000000000001</v>
      </c>
      <c r="F11" t="str">
        <f t="shared" si="0"/>
        <v>Green</v>
      </c>
      <c r="G11" t="str">
        <f t="shared" si="1"/>
        <v>Normal</v>
      </c>
    </row>
    <row r="12" spans="1:7">
      <c r="A12" t="str">
        <f>'02_Loan_Portfolio'!A10</f>
        <v>LN00009</v>
      </c>
      <c r="B12" t="str">
        <f>'02_Loan_Portfolio'!E10</f>
        <v>B</v>
      </c>
      <c r="C12">
        <f>'02_Loan_Portfolio'!L10</f>
        <v>0</v>
      </c>
      <c r="D12">
        <f>'02_Loan_Portfolio'!J10</f>
        <v>1.819</v>
      </c>
      <c r="E12">
        <f>'02_Loan_Portfolio'!K10</f>
        <v>0.54900000000000004</v>
      </c>
      <c r="F12" t="str">
        <f t="shared" si="0"/>
        <v>Green</v>
      </c>
      <c r="G12" t="str">
        <f t="shared" si="1"/>
        <v>Normal</v>
      </c>
    </row>
    <row r="13" spans="1:7">
      <c r="A13" t="str">
        <f>'02_Loan_Portfolio'!A11</f>
        <v>LN00010</v>
      </c>
      <c r="B13" t="str">
        <f>'02_Loan_Portfolio'!E11</f>
        <v>AA</v>
      </c>
      <c r="C13">
        <f>'02_Loan_Portfolio'!L11</f>
        <v>0</v>
      </c>
      <c r="D13">
        <f>'02_Loan_Portfolio'!J11</f>
        <v>1.389</v>
      </c>
      <c r="E13">
        <f>'02_Loan_Portfolio'!K11</f>
        <v>2.8620000000000001</v>
      </c>
      <c r="F13" t="str">
        <f t="shared" si="0"/>
        <v>Green</v>
      </c>
      <c r="G13" t="str">
        <f t="shared" si="1"/>
        <v>Normal</v>
      </c>
    </row>
    <row r="14" spans="1:7">
      <c r="A14" t="str">
        <f>'02_Loan_Portfolio'!A12</f>
        <v>LN00011</v>
      </c>
      <c r="B14" t="str">
        <f>'02_Loan_Portfolio'!E12</f>
        <v>BBB</v>
      </c>
      <c r="C14">
        <f>'02_Loan_Portfolio'!L12</f>
        <v>5</v>
      </c>
      <c r="D14">
        <f>'02_Loan_Portfolio'!J12</f>
        <v>2.2930000000000001</v>
      </c>
      <c r="E14">
        <f>'02_Loan_Portfolio'!K12</f>
        <v>2.339</v>
      </c>
      <c r="F14" t="str">
        <f t="shared" si="0"/>
        <v>Amber</v>
      </c>
      <c r="G14" t="str">
        <f t="shared" si="1"/>
        <v>Normal</v>
      </c>
    </row>
    <row r="15" spans="1:7">
      <c r="A15" t="str">
        <f>'02_Loan_Portfolio'!A13</f>
        <v>LN00012</v>
      </c>
      <c r="B15" t="str">
        <f>'02_Loan_Portfolio'!E13</f>
        <v>BB</v>
      </c>
      <c r="C15">
        <f>'02_Loan_Portfolio'!L13</f>
        <v>15</v>
      </c>
      <c r="D15">
        <f>'02_Loan_Portfolio'!J13</f>
        <v>2.4580000000000002</v>
      </c>
      <c r="E15">
        <f>'02_Loan_Portfolio'!K13</f>
        <v>2.4820000000000002</v>
      </c>
      <c r="F15" t="str">
        <f t="shared" si="0"/>
        <v>Amber</v>
      </c>
      <c r="G15" t="str">
        <f t="shared" si="1"/>
        <v>Normal</v>
      </c>
    </row>
    <row r="16" spans="1:7">
      <c r="A16" t="str">
        <f>'02_Loan_Portfolio'!A14</f>
        <v>LN00013</v>
      </c>
      <c r="B16" t="str">
        <f>'02_Loan_Portfolio'!E14</f>
        <v>BBB</v>
      </c>
      <c r="C16">
        <f>'02_Loan_Portfolio'!L14</f>
        <v>0</v>
      </c>
      <c r="D16">
        <f>'02_Loan_Portfolio'!J14</f>
        <v>1.645</v>
      </c>
      <c r="E16">
        <f>'02_Loan_Portfolio'!K14</f>
        <v>2.8570000000000002</v>
      </c>
      <c r="F16" t="str">
        <f t="shared" si="0"/>
        <v>Green</v>
      </c>
      <c r="G16" t="str">
        <f t="shared" si="1"/>
        <v>Normal</v>
      </c>
    </row>
    <row r="17" spans="1:7">
      <c r="A17" t="str">
        <f>'02_Loan_Portfolio'!A15</f>
        <v>LN00014</v>
      </c>
      <c r="B17" t="str">
        <f>'02_Loan_Portfolio'!E15</f>
        <v>B</v>
      </c>
      <c r="C17">
        <f>'02_Loan_Portfolio'!L15</f>
        <v>35</v>
      </c>
      <c r="D17">
        <f>'02_Loan_Portfolio'!J15</f>
        <v>2.8460000000000001</v>
      </c>
      <c r="E17">
        <f>'02_Loan_Portfolio'!K15</f>
        <v>3.1880000000000002</v>
      </c>
      <c r="F17" t="str">
        <f t="shared" si="0"/>
        <v>Red</v>
      </c>
      <c r="G17" t="str">
        <f t="shared" si="1"/>
        <v>DPD deterioration</v>
      </c>
    </row>
    <row r="18" spans="1:7">
      <c r="A18" t="str">
        <f>'02_Loan_Portfolio'!A16</f>
        <v>LN00015</v>
      </c>
      <c r="B18" t="str">
        <f>'02_Loan_Portfolio'!E16</f>
        <v>BBB</v>
      </c>
      <c r="C18">
        <f>'02_Loan_Portfolio'!L16</f>
        <v>5</v>
      </c>
      <c r="D18">
        <f>'02_Loan_Portfolio'!J16</f>
        <v>1.208</v>
      </c>
      <c r="E18">
        <f>'02_Loan_Portfolio'!K16</f>
        <v>0.2</v>
      </c>
      <c r="F18" t="str">
        <f t="shared" si="0"/>
        <v>Amber</v>
      </c>
      <c r="G18" t="str">
        <f t="shared" si="1"/>
        <v>Normal</v>
      </c>
    </row>
    <row r="19" spans="1:7">
      <c r="A19" t="str">
        <f>'02_Loan_Portfolio'!A17</f>
        <v>LN00016</v>
      </c>
      <c r="B19" t="str">
        <f>'02_Loan_Portfolio'!E17</f>
        <v>BB</v>
      </c>
      <c r="C19">
        <f>'02_Loan_Portfolio'!L17</f>
        <v>0</v>
      </c>
      <c r="D19">
        <f>'02_Loan_Portfolio'!J17</f>
        <v>0.72399999999999998</v>
      </c>
      <c r="E19">
        <f>'02_Loan_Portfolio'!K17</f>
        <v>3.1509999999999998</v>
      </c>
      <c r="F19" t="str">
        <f t="shared" si="0"/>
        <v>Red</v>
      </c>
      <c r="G19" t="str">
        <f t="shared" si="1"/>
        <v>DSCR weakness</v>
      </c>
    </row>
    <row r="20" spans="1:7">
      <c r="A20" t="str">
        <f>'02_Loan_Portfolio'!A18</f>
        <v>LN00017</v>
      </c>
      <c r="B20" t="str">
        <f>'02_Loan_Portfolio'!E18</f>
        <v>A</v>
      </c>
      <c r="C20">
        <f>'02_Loan_Portfolio'!L18</f>
        <v>0</v>
      </c>
      <c r="D20">
        <f>'02_Loan_Portfolio'!J18</f>
        <v>2.1539999999999999</v>
      </c>
      <c r="E20">
        <f>'02_Loan_Portfolio'!K18</f>
        <v>0.2</v>
      </c>
      <c r="F20" t="str">
        <f t="shared" si="0"/>
        <v>Green</v>
      </c>
      <c r="G20" t="str">
        <f t="shared" si="1"/>
        <v>Normal</v>
      </c>
    </row>
    <row r="21" spans="1:7">
      <c r="A21" t="str">
        <f>'02_Loan_Portfolio'!A19</f>
        <v>LN00018</v>
      </c>
      <c r="B21" t="str">
        <f>'02_Loan_Portfolio'!E19</f>
        <v>BBB</v>
      </c>
      <c r="C21">
        <f>'02_Loan_Portfolio'!L19</f>
        <v>35</v>
      </c>
      <c r="D21">
        <f>'02_Loan_Portfolio'!J19</f>
        <v>2.141</v>
      </c>
      <c r="E21">
        <f>'02_Loan_Portfolio'!K19</f>
        <v>3.6309999999999998</v>
      </c>
      <c r="F21" t="str">
        <f t="shared" si="0"/>
        <v>Red</v>
      </c>
      <c r="G21" t="str">
        <f t="shared" si="1"/>
        <v>DPD deterioration</v>
      </c>
    </row>
    <row r="22" spans="1:7">
      <c r="A22" t="str">
        <f>'02_Loan_Portfolio'!A20</f>
        <v>LN00019</v>
      </c>
      <c r="B22" t="str">
        <f>'02_Loan_Portfolio'!E20</f>
        <v>B</v>
      </c>
      <c r="C22">
        <f>'02_Loan_Portfolio'!L20</f>
        <v>0</v>
      </c>
      <c r="D22">
        <f>'02_Loan_Portfolio'!J20</f>
        <v>1.377</v>
      </c>
      <c r="E22">
        <f>'02_Loan_Portfolio'!K20</f>
        <v>1.486</v>
      </c>
      <c r="F22" t="str">
        <f t="shared" si="0"/>
        <v>Green</v>
      </c>
      <c r="G22" t="str">
        <f t="shared" si="1"/>
        <v>Normal</v>
      </c>
    </row>
    <row r="23" spans="1:7">
      <c r="A23" t="str">
        <f>'02_Loan_Portfolio'!A21</f>
        <v>LN00020</v>
      </c>
      <c r="B23" t="str">
        <f>'02_Loan_Portfolio'!E21</f>
        <v>BB</v>
      </c>
      <c r="C23">
        <f>'02_Loan_Portfolio'!L21</f>
        <v>0</v>
      </c>
      <c r="D23">
        <f>'02_Loan_Portfolio'!J21</f>
        <v>2.681</v>
      </c>
      <c r="E23">
        <f>'02_Loan_Portfolio'!K21</f>
        <v>1.6819999999999999</v>
      </c>
      <c r="F23" t="str">
        <f t="shared" si="0"/>
        <v>Green</v>
      </c>
      <c r="G23" t="str">
        <f t="shared" si="1"/>
        <v>Normal</v>
      </c>
    </row>
    <row r="24" spans="1:7">
      <c r="A24" t="str">
        <f>'02_Loan_Portfolio'!A22</f>
        <v>LN00021</v>
      </c>
      <c r="B24" t="str">
        <f>'02_Loan_Portfolio'!E22</f>
        <v>BB</v>
      </c>
      <c r="C24">
        <f>'02_Loan_Portfolio'!L22</f>
        <v>0</v>
      </c>
      <c r="D24">
        <f>'02_Loan_Portfolio'!J22</f>
        <v>1.5149999999999999</v>
      </c>
      <c r="E24">
        <f>'02_Loan_Portfolio'!K22</f>
        <v>3.4249999999999998</v>
      </c>
      <c r="F24" t="str">
        <f t="shared" si="0"/>
        <v>Green</v>
      </c>
      <c r="G24" t="str">
        <f t="shared" si="1"/>
        <v>Normal</v>
      </c>
    </row>
    <row r="25" spans="1:7">
      <c r="A25" t="str">
        <f>'02_Loan_Portfolio'!A23</f>
        <v>LN00022</v>
      </c>
      <c r="B25" t="str">
        <f>'02_Loan_Portfolio'!E23</f>
        <v>A</v>
      </c>
      <c r="C25">
        <f>'02_Loan_Portfolio'!L23</f>
        <v>35</v>
      </c>
      <c r="D25">
        <f>'02_Loan_Portfolio'!J23</f>
        <v>1.163</v>
      </c>
      <c r="E25">
        <f>'02_Loan_Portfolio'!K23</f>
        <v>4.282</v>
      </c>
      <c r="F25" t="str">
        <f t="shared" si="0"/>
        <v>Red</v>
      </c>
      <c r="G25" t="str">
        <f t="shared" si="1"/>
        <v>DPD deterioration</v>
      </c>
    </row>
    <row r="26" spans="1:7">
      <c r="A26" t="str">
        <f>'02_Loan_Portfolio'!A24</f>
        <v>LN00023</v>
      </c>
      <c r="B26" t="str">
        <f>'02_Loan_Portfolio'!E24</f>
        <v>A</v>
      </c>
      <c r="C26">
        <f>'02_Loan_Portfolio'!L24</f>
        <v>0</v>
      </c>
      <c r="D26">
        <f>'02_Loan_Portfolio'!J24</f>
        <v>1.3979999999999999</v>
      </c>
      <c r="E26">
        <f>'02_Loan_Portfolio'!K24</f>
        <v>3.3559999999999999</v>
      </c>
      <c r="F26" t="str">
        <f t="shared" si="0"/>
        <v>Green</v>
      </c>
      <c r="G26" t="str">
        <f t="shared" si="1"/>
        <v>Normal</v>
      </c>
    </row>
    <row r="27" spans="1:7">
      <c r="A27" t="str">
        <f>'02_Loan_Portfolio'!A25</f>
        <v>LN00024</v>
      </c>
      <c r="B27" t="str">
        <f>'02_Loan_Portfolio'!E25</f>
        <v>B</v>
      </c>
      <c r="C27">
        <f>'02_Loan_Portfolio'!L25</f>
        <v>0</v>
      </c>
      <c r="D27">
        <f>'02_Loan_Portfolio'!J25</f>
        <v>1.7629999999999999</v>
      </c>
      <c r="E27">
        <f>'02_Loan_Portfolio'!K25</f>
        <v>3.7229999999999999</v>
      </c>
      <c r="F27" t="str">
        <f t="shared" si="0"/>
        <v>Green</v>
      </c>
      <c r="G27" t="str">
        <f t="shared" si="1"/>
        <v>Normal</v>
      </c>
    </row>
    <row r="28" spans="1:7">
      <c r="A28" t="str">
        <f>'02_Loan_Portfolio'!A26</f>
        <v>LN00025</v>
      </c>
      <c r="B28" t="str">
        <f>'02_Loan_Portfolio'!E26</f>
        <v>A</v>
      </c>
      <c r="C28">
        <f>'02_Loan_Portfolio'!L26</f>
        <v>0</v>
      </c>
      <c r="D28">
        <f>'02_Loan_Portfolio'!J26</f>
        <v>2.1549999999999998</v>
      </c>
      <c r="E28">
        <f>'02_Loan_Portfolio'!K26</f>
        <v>2.456</v>
      </c>
      <c r="F28" t="str">
        <f t="shared" si="0"/>
        <v>Green</v>
      </c>
      <c r="G28" t="str">
        <f t="shared" si="1"/>
        <v>Normal</v>
      </c>
    </row>
    <row r="29" spans="1:7">
      <c r="A29" t="str">
        <f>'02_Loan_Portfolio'!A27</f>
        <v>LN00026</v>
      </c>
      <c r="B29" t="str">
        <f>'02_Loan_Portfolio'!E27</f>
        <v>B</v>
      </c>
      <c r="C29">
        <f>'02_Loan_Portfolio'!L27</f>
        <v>5</v>
      </c>
      <c r="D29">
        <f>'02_Loan_Portfolio'!J27</f>
        <v>0.58199999999999996</v>
      </c>
      <c r="E29">
        <f>'02_Loan_Portfolio'!K27</f>
        <v>4.6280000000000001</v>
      </c>
      <c r="F29" t="str">
        <f t="shared" si="0"/>
        <v>Red</v>
      </c>
      <c r="G29" t="str">
        <f t="shared" si="1"/>
        <v>DSCR weakness</v>
      </c>
    </row>
    <row r="30" spans="1:7">
      <c r="A30" t="str">
        <f>'02_Loan_Portfolio'!A28</f>
        <v>LN00027</v>
      </c>
      <c r="B30" t="str">
        <f>'02_Loan_Portfolio'!E28</f>
        <v>BB</v>
      </c>
      <c r="C30">
        <f>'02_Loan_Portfolio'!L28</f>
        <v>0</v>
      </c>
      <c r="D30">
        <f>'02_Loan_Portfolio'!J28</f>
        <v>2.4260000000000002</v>
      </c>
      <c r="E30">
        <f>'02_Loan_Portfolio'!K28</f>
        <v>1.867</v>
      </c>
      <c r="F30" t="str">
        <f t="shared" si="0"/>
        <v>Green</v>
      </c>
      <c r="G30" t="str">
        <f t="shared" si="1"/>
        <v>Normal</v>
      </c>
    </row>
    <row r="31" spans="1:7">
      <c r="A31" t="str">
        <f>'02_Loan_Portfolio'!A29</f>
        <v>LN00028</v>
      </c>
      <c r="B31" t="str">
        <f>'02_Loan_Portfolio'!E29</f>
        <v>BB</v>
      </c>
      <c r="C31">
        <f>'02_Loan_Portfolio'!L29</f>
        <v>0</v>
      </c>
      <c r="D31">
        <f>'02_Loan_Portfolio'!J29</f>
        <v>0.63300000000000001</v>
      </c>
      <c r="E31">
        <f>'02_Loan_Portfolio'!K29</f>
        <v>3.7050000000000001</v>
      </c>
      <c r="F31" t="str">
        <f t="shared" si="0"/>
        <v>Red</v>
      </c>
      <c r="G31" t="str">
        <f t="shared" si="1"/>
        <v>DSCR weakness</v>
      </c>
    </row>
    <row r="32" spans="1:7">
      <c r="A32" t="str">
        <f>'02_Loan_Portfolio'!A30</f>
        <v>LN00029</v>
      </c>
      <c r="B32" t="str">
        <f>'02_Loan_Portfolio'!E30</f>
        <v>B</v>
      </c>
      <c r="C32">
        <f>'02_Loan_Portfolio'!L30</f>
        <v>0</v>
      </c>
      <c r="D32">
        <f>'02_Loan_Portfolio'!J30</f>
        <v>2.2530000000000001</v>
      </c>
      <c r="E32">
        <f>'02_Loan_Portfolio'!K30</f>
        <v>1.367</v>
      </c>
      <c r="F32" t="str">
        <f t="shared" si="0"/>
        <v>Green</v>
      </c>
      <c r="G32" t="str">
        <f t="shared" si="1"/>
        <v>Normal</v>
      </c>
    </row>
    <row r="33" spans="1:7">
      <c r="A33" t="str">
        <f>'02_Loan_Portfolio'!A31</f>
        <v>LN00030</v>
      </c>
      <c r="B33" t="str">
        <f>'02_Loan_Portfolio'!E31</f>
        <v>A</v>
      </c>
      <c r="C33">
        <f>'02_Loan_Portfolio'!L31</f>
        <v>65</v>
      </c>
      <c r="D33">
        <f>'02_Loan_Portfolio'!J31</f>
        <v>2.0830000000000002</v>
      </c>
      <c r="E33">
        <f>'02_Loan_Portfolio'!K31</f>
        <v>1.163</v>
      </c>
      <c r="F33" t="str">
        <f t="shared" si="0"/>
        <v>Red</v>
      </c>
      <c r="G33" t="str">
        <f t="shared" si="1"/>
        <v>DPD deterioration</v>
      </c>
    </row>
    <row r="34" spans="1:7">
      <c r="A34" t="str">
        <f>'02_Loan_Portfolio'!A32</f>
        <v>LN00031</v>
      </c>
      <c r="B34" t="str">
        <f>'02_Loan_Portfolio'!E32</f>
        <v>BB</v>
      </c>
      <c r="C34">
        <f>'02_Loan_Portfolio'!L32</f>
        <v>0</v>
      </c>
      <c r="D34">
        <f>'02_Loan_Portfolio'!J32</f>
        <v>1.4359999999999999</v>
      </c>
      <c r="E34">
        <f>'02_Loan_Portfolio'!K32</f>
        <v>4.468</v>
      </c>
      <c r="F34" t="str">
        <f t="shared" si="0"/>
        <v>Amber</v>
      </c>
      <c r="G34" t="str">
        <f t="shared" si="1"/>
        <v>Normal</v>
      </c>
    </row>
    <row r="35" spans="1:7">
      <c r="A35" t="str">
        <f>'02_Loan_Portfolio'!A33</f>
        <v>LN00032</v>
      </c>
      <c r="B35" t="str">
        <f>'02_Loan_Portfolio'!E33</f>
        <v>B</v>
      </c>
      <c r="C35">
        <f>'02_Loan_Portfolio'!L33</f>
        <v>0</v>
      </c>
      <c r="D35">
        <f>'02_Loan_Portfolio'!J33</f>
        <v>1.7030000000000001</v>
      </c>
      <c r="E35">
        <f>'02_Loan_Portfolio'!K33</f>
        <v>4.2869999999999999</v>
      </c>
      <c r="F35" t="str">
        <f t="shared" si="0"/>
        <v>Amber</v>
      </c>
      <c r="G35" t="str">
        <f t="shared" si="1"/>
        <v>Normal</v>
      </c>
    </row>
    <row r="36" spans="1:7">
      <c r="A36" t="str">
        <f>'02_Loan_Portfolio'!A34</f>
        <v>LN00033</v>
      </c>
      <c r="B36" t="str">
        <f>'02_Loan_Portfolio'!E34</f>
        <v>BBB</v>
      </c>
      <c r="C36">
        <f>'02_Loan_Portfolio'!L34</f>
        <v>0</v>
      </c>
      <c r="D36">
        <f>'02_Loan_Portfolio'!J34</f>
        <v>2.3740000000000001</v>
      </c>
      <c r="E36">
        <f>'02_Loan_Portfolio'!K34</f>
        <v>1.335</v>
      </c>
      <c r="F36" t="str">
        <f t="shared" si="0"/>
        <v>Green</v>
      </c>
      <c r="G36" t="str">
        <f t="shared" si="1"/>
        <v>Normal</v>
      </c>
    </row>
    <row r="37" spans="1:7">
      <c r="A37" t="str">
        <f>'02_Loan_Portfolio'!A35</f>
        <v>LN00034</v>
      </c>
      <c r="B37" t="str">
        <f>'02_Loan_Portfolio'!E35</f>
        <v>B</v>
      </c>
      <c r="C37">
        <f>'02_Loan_Portfolio'!L35</f>
        <v>0</v>
      </c>
      <c r="D37">
        <f>'02_Loan_Portfolio'!J35</f>
        <v>2.31</v>
      </c>
      <c r="E37">
        <f>'02_Loan_Portfolio'!K35</f>
        <v>2.23</v>
      </c>
      <c r="F37" t="str">
        <f t="shared" si="0"/>
        <v>Green</v>
      </c>
      <c r="G37" t="str">
        <f t="shared" si="1"/>
        <v>Normal</v>
      </c>
    </row>
    <row r="38" spans="1:7">
      <c r="A38" t="str">
        <f>'02_Loan_Portfolio'!A36</f>
        <v>LN00035</v>
      </c>
      <c r="B38" t="str">
        <f>'02_Loan_Portfolio'!E36</f>
        <v>BBB</v>
      </c>
      <c r="C38">
        <f>'02_Loan_Portfolio'!L36</f>
        <v>0</v>
      </c>
      <c r="D38">
        <f>'02_Loan_Portfolio'!J36</f>
        <v>1.357</v>
      </c>
      <c r="E38">
        <f>'02_Loan_Portfolio'!K36</f>
        <v>4.4800000000000004</v>
      </c>
      <c r="F38" t="str">
        <f t="shared" si="0"/>
        <v>Amber</v>
      </c>
      <c r="G38" t="str">
        <f t="shared" si="1"/>
        <v>Normal</v>
      </c>
    </row>
    <row r="39" spans="1:7">
      <c r="A39" t="str">
        <f>'02_Loan_Portfolio'!A37</f>
        <v>LN00036</v>
      </c>
      <c r="B39" t="str">
        <f>'02_Loan_Portfolio'!E37</f>
        <v>B</v>
      </c>
      <c r="C39">
        <f>'02_Loan_Portfolio'!L37</f>
        <v>0</v>
      </c>
      <c r="D39">
        <f>'02_Loan_Portfolio'!J37</f>
        <v>0.90100000000000002</v>
      </c>
      <c r="E39">
        <f>'02_Loan_Portfolio'!K37</f>
        <v>3.6320000000000001</v>
      </c>
      <c r="F39" t="str">
        <f t="shared" si="0"/>
        <v>Red</v>
      </c>
      <c r="G39" t="str">
        <f t="shared" si="1"/>
        <v>DSCR weakness</v>
      </c>
    </row>
    <row r="40" spans="1:7">
      <c r="A40" t="str">
        <f>'02_Loan_Portfolio'!A38</f>
        <v>LN00037</v>
      </c>
      <c r="B40" t="str">
        <f>'02_Loan_Portfolio'!E38</f>
        <v>AA</v>
      </c>
      <c r="C40">
        <f>'02_Loan_Portfolio'!L38</f>
        <v>0</v>
      </c>
      <c r="D40">
        <f>'02_Loan_Portfolio'!J38</f>
        <v>2.383</v>
      </c>
      <c r="E40">
        <f>'02_Loan_Portfolio'!K38</f>
        <v>2.2970000000000002</v>
      </c>
      <c r="F40" t="str">
        <f t="shared" si="0"/>
        <v>Green</v>
      </c>
      <c r="G40" t="str">
        <f t="shared" si="1"/>
        <v>Normal</v>
      </c>
    </row>
    <row r="41" spans="1:7">
      <c r="A41" t="str">
        <f>'02_Loan_Portfolio'!A39</f>
        <v>LN00038</v>
      </c>
      <c r="B41" t="str">
        <f>'02_Loan_Portfolio'!E39</f>
        <v>B</v>
      </c>
      <c r="C41">
        <f>'02_Loan_Portfolio'!L39</f>
        <v>0</v>
      </c>
      <c r="D41">
        <f>'02_Loan_Portfolio'!J39</f>
        <v>2.2469999999999999</v>
      </c>
      <c r="E41">
        <f>'02_Loan_Portfolio'!K39</f>
        <v>2.4580000000000002</v>
      </c>
      <c r="F41" t="str">
        <f t="shared" si="0"/>
        <v>Green</v>
      </c>
      <c r="G41" t="str">
        <f t="shared" si="1"/>
        <v>Normal</v>
      </c>
    </row>
    <row r="42" spans="1:7">
      <c r="A42" t="str">
        <f>'02_Loan_Portfolio'!A40</f>
        <v>LN00039</v>
      </c>
      <c r="B42" t="str">
        <f>'02_Loan_Portfolio'!E40</f>
        <v>BB</v>
      </c>
      <c r="C42">
        <f>'02_Loan_Portfolio'!L40</f>
        <v>0</v>
      </c>
      <c r="D42">
        <f>'02_Loan_Portfolio'!J40</f>
        <v>2.0299999999999998</v>
      </c>
      <c r="E42">
        <f>'02_Loan_Portfolio'!K40</f>
        <v>1.9219999999999999</v>
      </c>
      <c r="F42" t="str">
        <f t="shared" si="0"/>
        <v>Green</v>
      </c>
      <c r="G42" t="str">
        <f t="shared" si="1"/>
        <v>Normal</v>
      </c>
    </row>
    <row r="43" spans="1:7">
      <c r="A43" t="str">
        <f>'02_Loan_Portfolio'!A41</f>
        <v>LN00040</v>
      </c>
      <c r="B43" t="str">
        <f>'02_Loan_Portfolio'!E41</f>
        <v>A</v>
      </c>
      <c r="C43">
        <f>'02_Loan_Portfolio'!L41</f>
        <v>0</v>
      </c>
      <c r="D43">
        <f>'02_Loan_Portfolio'!J41</f>
        <v>2.6309999999999998</v>
      </c>
      <c r="E43">
        <f>'02_Loan_Portfolio'!K41</f>
        <v>2.0310000000000001</v>
      </c>
      <c r="F43" t="str">
        <f t="shared" si="0"/>
        <v>Green</v>
      </c>
      <c r="G43" t="str">
        <f t="shared" si="1"/>
        <v>Normal</v>
      </c>
    </row>
    <row r="44" spans="1:7">
      <c r="A44" t="str">
        <f>'02_Loan_Portfolio'!A42</f>
        <v>LN00041</v>
      </c>
      <c r="B44" t="str">
        <f>'02_Loan_Portfolio'!E42</f>
        <v>B</v>
      </c>
      <c r="C44">
        <f>'02_Loan_Portfolio'!L42</f>
        <v>0</v>
      </c>
      <c r="D44">
        <f>'02_Loan_Portfolio'!J42</f>
        <v>2.35</v>
      </c>
      <c r="E44">
        <f>'02_Loan_Portfolio'!K42</f>
        <v>2.4649999999999999</v>
      </c>
      <c r="F44" t="str">
        <f t="shared" si="0"/>
        <v>Green</v>
      </c>
      <c r="G44" t="str">
        <f t="shared" si="1"/>
        <v>Normal</v>
      </c>
    </row>
    <row r="45" spans="1:7">
      <c r="A45" t="str">
        <f>'02_Loan_Portfolio'!A43</f>
        <v>LN00042</v>
      </c>
      <c r="B45" t="str">
        <f>'02_Loan_Portfolio'!E43</f>
        <v>BB</v>
      </c>
      <c r="C45">
        <f>'02_Loan_Portfolio'!L43</f>
        <v>15</v>
      </c>
      <c r="D45">
        <f>'02_Loan_Portfolio'!J43</f>
        <v>1.843</v>
      </c>
      <c r="E45">
        <f>'02_Loan_Portfolio'!K43</f>
        <v>1.0580000000000001</v>
      </c>
      <c r="F45" t="str">
        <f t="shared" si="0"/>
        <v>Amber</v>
      </c>
      <c r="G45" t="str">
        <f t="shared" si="1"/>
        <v>Normal</v>
      </c>
    </row>
    <row r="46" spans="1:7">
      <c r="A46" t="str">
        <f>'02_Loan_Portfolio'!A44</f>
        <v>LN00043</v>
      </c>
      <c r="B46" t="str">
        <f>'02_Loan_Portfolio'!E44</f>
        <v>BB</v>
      </c>
      <c r="C46">
        <f>'02_Loan_Portfolio'!L44</f>
        <v>0</v>
      </c>
      <c r="D46">
        <f>'02_Loan_Portfolio'!J44</f>
        <v>1.3069999999999999</v>
      </c>
      <c r="E46">
        <f>'02_Loan_Portfolio'!K44</f>
        <v>2.875</v>
      </c>
      <c r="F46" t="str">
        <f t="shared" si="0"/>
        <v>Green</v>
      </c>
      <c r="G46" t="str">
        <f t="shared" si="1"/>
        <v>Normal</v>
      </c>
    </row>
    <row r="47" spans="1:7">
      <c r="A47" t="str">
        <f>'02_Loan_Portfolio'!A45</f>
        <v>LN00044</v>
      </c>
      <c r="B47" t="str">
        <f>'02_Loan_Portfolio'!E45</f>
        <v>A</v>
      </c>
      <c r="C47">
        <f>'02_Loan_Portfolio'!L45</f>
        <v>0</v>
      </c>
      <c r="D47">
        <f>'02_Loan_Portfolio'!J45</f>
        <v>2.8319999999999999</v>
      </c>
      <c r="E47">
        <f>'02_Loan_Portfolio'!K45</f>
        <v>2.8769999999999998</v>
      </c>
      <c r="F47" t="str">
        <f t="shared" si="0"/>
        <v>Green</v>
      </c>
      <c r="G47" t="str">
        <f t="shared" si="1"/>
        <v>Normal</v>
      </c>
    </row>
    <row r="48" spans="1:7">
      <c r="A48" t="str">
        <f>'02_Loan_Portfolio'!A46</f>
        <v>LN00045</v>
      </c>
      <c r="B48" t="str">
        <f>'02_Loan_Portfolio'!E46</f>
        <v>BB</v>
      </c>
      <c r="C48">
        <f>'02_Loan_Portfolio'!L46</f>
        <v>0</v>
      </c>
      <c r="D48">
        <f>'02_Loan_Portfolio'!J46</f>
        <v>1.522</v>
      </c>
      <c r="E48">
        <f>'02_Loan_Portfolio'!K46</f>
        <v>2.3679999999999999</v>
      </c>
      <c r="F48" t="str">
        <f t="shared" si="0"/>
        <v>Green</v>
      </c>
      <c r="G48" t="str">
        <f t="shared" si="1"/>
        <v>Normal</v>
      </c>
    </row>
    <row r="49" spans="1:7">
      <c r="A49" t="str">
        <f>'02_Loan_Portfolio'!A47</f>
        <v>LN00046</v>
      </c>
      <c r="B49" t="str">
        <f>'02_Loan_Portfolio'!E47</f>
        <v>BB</v>
      </c>
      <c r="C49">
        <f>'02_Loan_Portfolio'!L47</f>
        <v>0</v>
      </c>
      <c r="D49">
        <f>'02_Loan_Portfolio'!J47</f>
        <v>1.8080000000000001</v>
      </c>
      <c r="E49">
        <f>'02_Loan_Portfolio'!K47</f>
        <v>4.9889999999999999</v>
      </c>
      <c r="F49" t="str">
        <f t="shared" si="0"/>
        <v>Amber</v>
      </c>
      <c r="G49" t="str">
        <f t="shared" si="1"/>
        <v>Normal</v>
      </c>
    </row>
    <row r="50" spans="1:7">
      <c r="A50" t="str">
        <f>'02_Loan_Portfolio'!A48</f>
        <v>LN00047</v>
      </c>
      <c r="B50" t="str">
        <f>'02_Loan_Portfolio'!E48</f>
        <v>B</v>
      </c>
      <c r="C50">
        <f>'02_Loan_Portfolio'!L48</f>
        <v>0</v>
      </c>
      <c r="D50">
        <f>'02_Loan_Portfolio'!J48</f>
        <v>0.46700000000000003</v>
      </c>
      <c r="E50">
        <f>'02_Loan_Portfolio'!K48</f>
        <v>3.4529999999999998</v>
      </c>
      <c r="F50" t="str">
        <f t="shared" si="0"/>
        <v>Red</v>
      </c>
      <c r="G50" t="str">
        <f t="shared" si="1"/>
        <v>DSCR weakness</v>
      </c>
    </row>
    <row r="51" spans="1:7">
      <c r="A51" t="str">
        <f>'02_Loan_Portfolio'!A49</f>
        <v>LN00048</v>
      </c>
      <c r="B51" t="str">
        <f>'02_Loan_Portfolio'!E49</f>
        <v>BB</v>
      </c>
      <c r="C51">
        <f>'02_Loan_Portfolio'!L49</f>
        <v>15</v>
      </c>
      <c r="D51">
        <f>'02_Loan_Portfolio'!J49</f>
        <v>1.9339999999999999</v>
      </c>
      <c r="E51">
        <f>'02_Loan_Portfolio'!K49</f>
        <v>2.7850000000000001</v>
      </c>
      <c r="F51" t="str">
        <f t="shared" si="0"/>
        <v>Amber</v>
      </c>
      <c r="G51" t="str">
        <f t="shared" si="1"/>
        <v>Normal</v>
      </c>
    </row>
    <row r="52" spans="1:7">
      <c r="A52" t="str">
        <f>'02_Loan_Portfolio'!A50</f>
        <v>LN00049</v>
      </c>
      <c r="B52" t="str">
        <f>'02_Loan_Portfolio'!E50</f>
        <v>A</v>
      </c>
      <c r="C52">
        <f>'02_Loan_Portfolio'!L50</f>
        <v>5</v>
      </c>
      <c r="D52">
        <f>'02_Loan_Portfolio'!J50</f>
        <v>2.2069999999999999</v>
      </c>
      <c r="E52">
        <f>'02_Loan_Portfolio'!K50</f>
        <v>3.1880000000000002</v>
      </c>
      <c r="F52" t="str">
        <f t="shared" si="0"/>
        <v>Amber</v>
      </c>
      <c r="G52" t="str">
        <f t="shared" si="1"/>
        <v>Normal</v>
      </c>
    </row>
    <row r="53" spans="1:7">
      <c r="A53" t="str">
        <f>'02_Loan_Portfolio'!A51</f>
        <v>LN00050</v>
      </c>
      <c r="B53" t="str">
        <f>'02_Loan_Portfolio'!E51</f>
        <v>BBB</v>
      </c>
      <c r="C53">
        <f>'02_Loan_Portfolio'!L51</f>
        <v>0</v>
      </c>
      <c r="D53">
        <f>'02_Loan_Portfolio'!J51</f>
        <v>2.1909999999999998</v>
      </c>
      <c r="E53">
        <f>'02_Loan_Portfolio'!K51</f>
        <v>3.363</v>
      </c>
      <c r="F53" t="str">
        <f t="shared" si="0"/>
        <v>Green</v>
      </c>
      <c r="G53" t="str">
        <f t="shared" si="1"/>
        <v>Normal</v>
      </c>
    </row>
    <row r="54" spans="1:7">
      <c r="A54" t="str">
        <f>'02_Loan_Portfolio'!A52</f>
        <v>LN00051</v>
      </c>
      <c r="B54" t="str">
        <f>'02_Loan_Portfolio'!E52</f>
        <v>AA</v>
      </c>
      <c r="C54">
        <f>'02_Loan_Portfolio'!L52</f>
        <v>0</v>
      </c>
      <c r="D54">
        <f>'02_Loan_Portfolio'!J52</f>
        <v>2.4630000000000001</v>
      </c>
      <c r="E54">
        <f>'02_Loan_Portfolio'!K52</f>
        <v>2.121</v>
      </c>
      <c r="F54" t="str">
        <f t="shared" si="0"/>
        <v>Green</v>
      </c>
      <c r="G54" t="str">
        <f t="shared" si="1"/>
        <v>Normal</v>
      </c>
    </row>
    <row r="55" spans="1:7">
      <c r="A55" t="str">
        <f>'02_Loan_Portfolio'!A53</f>
        <v>LN00052</v>
      </c>
      <c r="B55" t="str">
        <f>'02_Loan_Portfolio'!E53</f>
        <v>BB</v>
      </c>
      <c r="C55">
        <f>'02_Loan_Portfolio'!L53</f>
        <v>35</v>
      </c>
      <c r="D55">
        <f>'02_Loan_Portfolio'!J53</f>
        <v>2.157</v>
      </c>
      <c r="E55">
        <f>'02_Loan_Portfolio'!K53</f>
        <v>3.7610000000000001</v>
      </c>
      <c r="F55" t="str">
        <f t="shared" si="0"/>
        <v>Red</v>
      </c>
      <c r="G55" t="str">
        <f t="shared" si="1"/>
        <v>DPD deterioration</v>
      </c>
    </row>
    <row r="56" spans="1:7">
      <c r="A56" t="str">
        <f>'02_Loan_Portfolio'!A54</f>
        <v>LN00053</v>
      </c>
      <c r="B56" t="str">
        <f>'02_Loan_Portfolio'!E54</f>
        <v>BBB</v>
      </c>
      <c r="C56">
        <f>'02_Loan_Portfolio'!L54</f>
        <v>0</v>
      </c>
      <c r="D56">
        <f>'02_Loan_Portfolio'!J54</f>
        <v>1.43</v>
      </c>
      <c r="E56">
        <f>'02_Loan_Portfolio'!K54</f>
        <v>0.2</v>
      </c>
      <c r="F56" t="str">
        <f t="shared" si="0"/>
        <v>Green</v>
      </c>
      <c r="G56" t="str">
        <f t="shared" si="1"/>
        <v>Normal</v>
      </c>
    </row>
    <row r="57" spans="1:7">
      <c r="A57" t="str">
        <f>'02_Loan_Portfolio'!A55</f>
        <v>LN00054</v>
      </c>
      <c r="B57" t="str">
        <f>'02_Loan_Portfolio'!E55</f>
        <v>A</v>
      </c>
      <c r="C57">
        <f>'02_Loan_Portfolio'!L55</f>
        <v>0</v>
      </c>
      <c r="D57">
        <f>'02_Loan_Portfolio'!J55</f>
        <v>1.9470000000000001</v>
      </c>
      <c r="E57">
        <f>'02_Loan_Portfolio'!K55</f>
        <v>2.6230000000000002</v>
      </c>
      <c r="F57" t="str">
        <f t="shared" si="0"/>
        <v>Green</v>
      </c>
      <c r="G57" t="str">
        <f t="shared" si="1"/>
        <v>Normal</v>
      </c>
    </row>
    <row r="58" spans="1:7">
      <c r="A58" t="str">
        <f>'02_Loan_Portfolio'!A56</f>
        <v>LN00055</v>
      </c>
      <c r="B58" t="str">
        <f>'02_Loan_Portfolio'!E56</f>
        <v>B</v>
      </c>
      <c r="C58">
        <f>'02_Loan_Portfolio'!L56</f>
        <v>0</v>
      </c>
      <c r="D58">
        <f>'02_Loan_Portfolio'!J56</f>
        <v>1.4910000000000001</v>
      </c>
      <c r="E58">
        <f>'02_Loan_Portfolio'!K56</f>
        <v>5.2309999999999999</v>
      </c>
      <c r="F58" t="str">
        <f t="shared" si="0"/>
        <v>Red</v>
      </c>
      <c r="G58" t="str">
        <f t="shared" si="1"/>
        <v>High leverage</v>
      </c>
    </row>
    <row r="59" spans="1:7">
      <c r="A59" t="str">
        <f>'02_Loan_Portfolio'!A57</f>
        <v>LN00056</v>
      </c>
      <c r="B59" t="str">
        <f>'02_Loan_Portfolio'!E57</f>
        <v>BB</v>
      </c>
      <c r="C59">
        <f>'02_Loan_Portfolio'!L57</f>
        <v>0</v>
      </c>
      <c r="D59">
        <f>'02_Loan_Portfolio'!J57</f>
        <v>1.202</v>
      </c>
      <c r="E59">
        <f>'02_Loan_Portfolio'!K57</f>
        <v>3.7309999999999999</v>
      </c>
      <c r="F59" t="str">
        <f t="shared" si="0"/>
        <v>Amber</v>
      </c>
      <c r="G59" t="str">
        <f t="shared" si="1"/>
        <v>Normal</v>
      </c>
    </row>
    <row r="60" spans="1:7">
      <c r="A60" t="str">
        <f>'02_Loan_Portfolio'!A58</f>
        <v>LN00057</v>
      </c>
      <c r="B60" t="str">
        <f>'02_Loan_Portfolio'!E58</f>
        <v>BBB</v>
      </c>
      <c r="C60">
        <f>'02_Loan_Portfolio'!L58</f>
        <v>0</v>
      </c>
      <c r="D60">
        <f>'02_Loan_Portfolio'!J58</f>
        <v>1.2969999999999999</v>
      </c>
      <c r="E60">
        <f>'02_Loan_Portfolio'!K58</f>
        <v>1.86</v>
      </c>
      <c r="F60" t="str">
        <f t="shared" si="0"/>
        <v>Amber</v>
      </c>
      <c r="G60" t="str">
        <f t="shared" si="1"/>
        <v>Normal</v>
      </c>
    </row>
    <row r="61" spans="1:7">
      <c r="A61" t="str">
        <f>'02_Loan_Portfolio'!A59</f>
        <v>LN00058</v>
      </c>
      <c r="B61" t="str">
        <f>'02_Loan_Portfolio'!E59</f>
        <v>B</v>
      </c>
      <c r="C61">
        <f>'02_Loan_Portfolio'!L59</f>
        <v>95</v>
      </c>
      <c r="D61">
        <f>'02_Loan_Portfolio'!J59</f>
        <v>1.123</v>
      </c>
      <c r="E61">
        <f>'02_Loan_Portfolio'!K59</f>
        <v>4.2939999999999996</v>
      </c>
      <c r="F61" t="str">
        <f t="shared" si="0"/>
        <v>Red</v>
      </c>
      <c r="G61" t="str">
        <f t="shared" si="1"/>
        <v>DPD deterioration</v>
      </c>
    </row>
    <row r="62" spans="1:7">
      <c r="A62" t="str">
        <f>'02_Loan_Portfolio'!A60</f>
        <v>LN00059</v>
      </c>
      <c r="B62" t="str">
        <f>'02_Loan_Portfolio'!E60</f>
        <v>A</v>
      </c>
      <c r="C62">
        <f>'02_Loan_Portfolio'!L60</f>
        <v>5</v>
      </c>
      <c r="D62">
        <f>'02_Loan_Portfolio'!J60</f>
        <v>0.97799999999999998</v>
      </c>
      <c r="E62">
        <f>'02_Loan_Portfolio'!K60</f>
        <v>1.458</v>
      </c>
      <c r="F62" t="str">
        <f t="shared" si="0"/>
        <v>Red</v>
      </c>
      <c r="G62" t="str">
        <f t="shared" si="1"/>
        <v>DSCR weakness</v>
      </c>
    </row>
    <row r="63" spans="1:7">
      <c r="A63" t="str">
        <f>'02_Loan_Portfolio'!A61</f>
        <v>LN00060</v>
      </c>
      <c r="B63" t="str">
        <f>'02_Loan_Portfolio'!E61</f>
        <v>CCC</v>
      </c>
      <c r="C63">
        <f>'02_Loan_Portfolio'!L61</f>
        <v>0</v>
      </c>
      <c r="D63">
        <f>'02_Loan_Portfolio'!J61</f>
        <v>2.74</v>
      </c>
      <c r="E63">
        <f>'02_Loan_Portfolio'!K61</f>
        <v>3.9119999999999999</v>
      </c>
      <c r="F63" t="str">
        <f t="shared" si="0"/>
        <v>Green</v>
      </c>
      <c r="G63" t="str">
        <f t="shared" si="1"/>
        <v>Normal</v>
      </c>
    </row>
    <row r="64" spans="1:7">
      <c r="A64" t="str">
        <f>'02_Loan_Portfolio'!A62</f>
        <v>LN00061</v>
      </c>
      <c r="B64" t="str">
        <f>'02_Loan_Portfolio'!E62</f>
        <v>A</v>
      </c>
      <c r="C64">
        <f>'02_Loan_Portfolio'!L62</f>
        <v>15</v>
      </c>
      <c r="D64">
        <f>'02_Loan_Portfolio'!J62</f>
        <v>1.641</v>
      </c>
      <c r="E64">
        <f>'02_Loan_Portfolio'!K62</f>
        <v>2.16</v>
      </c>
      <c r="F64" t="str">
        <f t="shared" si="0"/>
        <v>Amber</v>
      </c>
      <c r="G64" t="str">
        <f t="shared" si="1"/>
        <v>Normal</v>
      </c>
    </row>
    <row r="65" spans="1:7">
      <c r="A65" t="str">
        <f>'02_Loan_Portfolio'!A63</f>
        <v>LN00062</v>
      </c>
      <c r="B65" t="str">
        <f>'02_Loan_Portfolio'!E63</f>
        <v>BBB</v>
      </c>
      <c r="C65">
        <f>'02_Loan_Portfolio'!L63</f>
        <v>35</v>
      </c>
      <c r="D65">
        <f>'02_Loan_Portfolio'!J63</f>
        <v>1.577</v>
      </c>
      <c r="E65">
        <f>'02_Loan_Portfolio'!K63</f>
        <v>1.7609999999999999</v>
      </c>
      <c r="F65" t="str">
        <f t="shared" si="0"/>
        <v>Red</v>
      </c>
      <c r="G65" t="str">
        <f t="shared" si="1"/>
        <v>DPD deterioration</v>
      </c>
    </row>
    <row r="66" spans="1:7">
      <c r="A66" t="str">
        <f>'02_Loan_Portfolio'!A64</f>
        <v>LN00063</v>
      </c>
      <c r="B66" t="str">
        <f>'02_Loan_Portfolio'!E64</f>
        <v>BBB</v>
      </c>
      <c r="C66">
        <f>'02_Loan_Portfolio'!L64</f>
        <v>35</v>
      </c>
      <c r="D66">
        <f>'02_Loan_Portfolio'!J64</f>
        <v>1.4630000000000001</v>
      </c>
      <c r="E66">
        <f>'02_Loan_Portfolio'!K64</f>
        <v>3.1850000000000001</v>
      </c>
      <c r="F66" t="str">
        <f t="shared" si="0"/>
        <v>Red</v>
      </c>
      <c r="G66" t="str">
        <f t="shared" si="1"/>
        <v>DPD deterioration</v>
      </c>
    </row>
    <row r="67" spans="1:7">
      <c r="A67" t="str">
        <f>'02_Loan_Portfolio'!A65</f>
        <v>LN00064</v>
      </c>
      <c r="B67" t="str">
        <f>'02_Loan_Portfolio'!E65</f>
        <v>BBB</v>
      </c>
      <c r="C67">
        <f>'02_Loan_Portfolio'!L65</f>
        <v>0</v>
      </c>
      <c r="D67">
        <f>'02_Loan_Portfolio'!J65</f>
        <v>1.6739999999999999</v>
      </c>
      <c r="E67">
        <f>'02_Loan_Portfolio'!K65</f>
        <v>2.5110000000000001</v>
      </c>
      <c r="F67" t="str">
        <f t="shared" si="0"/>
        <v>Green</v>
      </c>
      <c r="G67" t="str">
        <f t="shared" si="1"/>
        <v>Normal</v>
      </c>
    </row>
    <row r="68" spans="1:7">
      <c r="A68" t="str">
        <f>'02_Loan_Portfolio'!A66</f>
        <v>LN00065</v>
      </c>
      <c r="B68" t="str">
        <f>'02_Loan_Portfolio'!E66</f>
        <v>A</v>
      </c>
      <c r="C68">
        <f>'02_Loan_Portfolio'!L66</f>
        <v>65</v>
      </c>
      <c r="D68">
        <f>'02_Loan_Portfolio'!J66</f>
        <v>0.70499999999999996</v>
      </c>
      <c r="E68">
        <f>'02_Loan_Portfolio'!K66</f>
        <v>2.1</v>
      </c>
      <c r="F68" t="str">
        <f t="shared" ref="F68:F131" si="2">IF(OR(C68&gt;=30,D68&lt;1.1,E68&gt;5),"Red",IF(OR(C68&gt;0,D68&lt;1.3,E68&gt;4),"Amber","Green"))</f>
        <v>Red</v>
      </c>
      <c r="G68" t="str">
        <f t="shared" ref="G68:G131" si="3">IF(C68&gt;=30,"DPD deterioration",IF(D68&lt;1.1,"DSCR weakness",IF(E68&gt;5,"High leverage","Normal")))</f>
        <v>DPD deterioration</v>
      </c>
    </row>
    <row r="69" spans="1:7">
      <c r="A69" t="str">
        <f>'02_Loan_Portfolio'!A67</f>
        <v>LN00066</v>
      </c>
      <c r="B69" t="str">
        <f>'02_Loan_Portfolio'!E67</f>
        <v>B</v>
      </c>
      <c r="C69">
        <f>'02_Loan_Portfolio'!L67</f>
        <v>35</v>
      </c>
      <c r="D69">
        <f>'02_Loan_Portfolio'!J67</f>
        <v>1.9259999999999999</v>
      </c>
      <c r="E69">
        <f>'02_Loan_Portfolio'!K67</f>
        <v>5.2779999999999996</v>
      </c>
      <c r="F69" t="str">
        <f t="shared" si="2"/>
        <v>Red</v>
      </c>
      <c r="G69" t="str">
        <f t="shared" si="3"/>
        <v>DPD deterioration</v>
      </c>
    </row>
    <row r="70" spans="1:7">
      <c r="A70" t="str">
        <f>'02_Loan_Portfolio'!A68</f>
        <v>LN00067</v>
      </c>
      <c r="B70" t="str">
        <f>'02_Loan_Portfolio'!E68</f>
        <v>BBB</v>
      </c>
      <c r="C70">
        <f>'02_Loan_Portfolio'!L68</f>
        <v>65</v>
      </c>
      <c r="D70">
        <f>'02_Loan_Portfolio'!J68</f>
        <v>2.3330000000000002</v>
      </c>
      <c r="E70">
        <f>'02_Loan_Portfolio'!K68</f>
        <v>1.7490000000000001</v>
      </c>
      <c r="F70" t="str">
        <f t="shared" si="2"/>
        <v>Red</v>
      </c>
      <c r="G70" t="str">
        <f t="shared" si="3"/>
        <v>DPD deterioration</v>
      </c>
    </row>
    <row r="71" spans="1:7">
      <c r="A71" t="str">
        <f>'02_Loan_Portfolio'!A69</f>
        <v>LN00068</v>
      </c>
      <c r="B71" t="str">
        <f>'02_Loan_Portfolio'!E69</f>
        <v>B</v>
      </c>
      <c r="C71">
        <f>'02_Loan_Portfolio'!L69</f>
        <v>0</v>
      </c>
      <c r="D71">
        <f>'02_Loan_Portfolio'!J69</f>
        <v>3.5750000000000002</v>
      </c>
      <c r="E71">
        <f>'02_Loan_Portfolio'!K69</f>
        <v>4.2759999999999998</v>
      </c>
      <c r="F71" t="str">
        <f t="shared" si="2"/>
        <v>Amber</v>
      </c>
      <c r="G71" t="str">
        <f t="shared" si="3"/>
        <v>Normal</v>
      </c>
    </row>
    <row r="72" spans="1:7">
      <c r="A72" t="str">
        <f>'02_Loan_Portfolio'!A70</f>
        <v>LN00069</v>
      </c>
      <c r="B72" t="str">
        <f>'02_Loan_Portfolio'!E70</f>
        <v>BB</v>
      </c>
      <c r="C72">
        <f>'02_Loan_Portfolio'!L70</f>
        <v>0</v>
      </c>
      <c r="D72">
        <f>'02_Loan_Portfolio'!J70</f>
        <v>0.93600000000000005</v>
      </c>
      <c r="E72">
        <f>'02_Loan_Portfolio'!K70</f>
        <v>2.802</v>
      </c>
      <c r="F72" t="str">
        <f t="shared" si="2"/>
        <v>Red</v>
      </c>
      <c r="G72" t="str">
        <f t="shared" si="3"/>
        <v>DSCR weakness</v>
      </c>
    </row>
    <row r="73" spans="1:7">
      <c r="A73" t="str">
        <f>'02_Loan_Portfolio'!A71</f>
        <v>LN00070</v>
      </c>
      <c r="B73" t="str">
        <f>'02_Loan_Portfolio'!E71</f>
        <v>B</v>
      </c>
      <c r="C73">
        <f>'02_Loan_Portfolio'!L71</f>
        <v>5</v>
      </c>
      <c r="D73">
        <f>'02_Loan_Portfolio'!J71</f>
        <v>2.7730000000000001</v>
      </c>
      <c r="E73">
        <f>'02_Loan_Portfolio'!K71</f>
        <v>2.3780000000000001</v>
      </c>
      <c r="F73" t="str">
        <f t="shared" si="2"/>
        <v>Amber</v>
      </c>
      <c r="G73" t="str">
        <f t="shared" si="3"/>
        <v>Normal</v>
      </c>
    </row>
    <row r="74" spans="1:7">
      <c r="A74" t="str">
        <f>'02_Loan_Portfolio'!A72</f>
        <v>LN00071</v>
      </c>
      <c r="B74" t="str">
        <f>'02_Loan_Portfolio'!E72</f>
        <v>CCC</v>
      </c>
      <c r="C74">
        <f>'02_Loan_Portfolio'!L72</f>
        <v>95</v>
      </c>
      <c r="D74">
        <f>'02_Loan_Portfolio'!J72</f>
        <v>1.43</v>
      </c>
      <c r="E74">
        <f>'02_Loan_Portfolio'!K72</f>
        <v>3.5760000000000001</v>
      </c>
      <c r="F74" t="str">
        <f t="shared" si="2"/>
        <v>Red</v>
      </c>
      <c r="G74" t="str">
        <f t="shared" si="3"/>
        <v>DPD deterioration</v>
      </c>
    </row>
    <row r="75" spans="1:7">
      <c r="A75" t="str">
        <f>'02_Loan_Portfolio'!A73</f>
        <v>LN00072</v>
      </c>
      <c r="B75" t="str">
        <f>'02_Loan_Portfolio'!E73</f>
        <v>B</v>
      </c>
      <c r="C75">
        <f>'02_Loan_Portfolio'!L73</f>
        <v>0</v>
      </c>
      <c r="D75">
        <f>'02_Loan_Portfolio'!J73</f>
        <v>1.901</v>
      </c>
      <c r="E75">
        <f>'02_Loan_Portfolio'!K73</f>
        <v>2.2000000000000002</v>
      </c>
      <c r="F75" t="str">
        <f t="shared" si="2"/>
        <v>Green</v>
      </c>
      <c r="G75" t="str">
        <f t="shared" si="3"/>
        <v>Normal</v>
      </c>
    </row>
    <row r="76" spans="1:7">
      <c r="A76" t="str">
        <f>'02_Loan_Portfolio'!A74</f>
        <v>LN00073</v>
      </c>
      <c r="B76" t="str">
        <f>'02_Loan_Portfolio'!E74</f>
        <v>BBB</v>
      </c>
      <c r="C76">
        <f>'02_Loan_Portfolio'!L74</f>
        <v>95</v>
      </c>
      <c r="D76">
        <f>'02_Loan_Portfolio'!J74</f>
        <v>1.7450000000000001</v>
      </c>
      <c r="E76">
        <f>'02_Loan_Portfolio'!K74</f>
        <v>3.7829999999999999</v>
      </c>
      <c r="F76" t="str">
        <f t="shared" si="2"/>
        <v>Red</v>
      </c>
      <c r="G76" t="str">
        <f t="shared" si="3"/>
        <v>DPD deterioration</v>
      </c>
    </row>
    <row r="77" spans="1:7">
      <c r="A77" t="str">
        <f>'02_Loan_Portfolio'!A75</f>
        <v>LN00074</v>
      </c>
      <c r="B77" t="str">
        <f>'02_Loan_Portfolio'!E75</f>
        <v>BBB</v>
      </c>
      <c r="C77">
        <f>'02_Loan_Portfolio'!L75</f>
        <v>0</v>
      </c>
      <c r="D77">
        <f>'02_Loan_Portfolio'!J75</f>
        <v>1.6639999999999999</v>
      </c>
      <c r="E77">
        <f>'02_Loan_Portfolio'!K75</f>
        <v>3.9129999999999998</v>
      </c>
      <c r="F77" t="str">
        <f t="shared" si="2"/>
        <v>Green</v>
      </c>
      <c r="G77" t="str">
        <f t="shared" si="3"/>
        <v>Normal</v>
      </c>
    </row>
    <row r="78" spans="1:7">
      <c r="A78" t="str">
        <f>'02_Loan_Portfolio'!A76</f>
        <v>LN00075</v>
      </c>
      <c r="B78" t="str">
        <f>'02_Loan_Portfolio'!E76</f>
        <v>BBB</v>
      </c>
      <c r="C78">
        <f>'02_Loan_Portfolio'!L76</f>
        <v>0</v>
      </c>
      <c r="D78">
        <f>'02_Loan_Portfolio'!J76</f>
        <v>0.86899999999999999</v>
      </c>
      <c r="E78">
        <f>'02_Loan_Portfolio'!K76</f>
        <v>0.54</v>
      </c>
      <c r="F78" t="str">
        <f t="shared" si="2"/>
        <v>Red</v>
      </c>
      <c r="G78" t="str">
        <f t="shared" si="3"/>
        <v>DSCR weakness</v>
      </c>
    </row>
    <row r="79" spans="1:7">
      <c r="A79" t="str">
        <f>'02_Loan_Portfolio'!A77</f>
        <v>LN00076</v>
      </c>
      <c r="B79" t="str">
        <f>'02_Loan_Portfolio'!E77</f>
        <v>BBB</v>
      </c>
      <c r="C79">
        <f>'02_Loan_Portfolio'!L77</f>
        <v>5</v>
      </c>
      <c r="D79">
        <f>'02_Loan_Portfolio'!J77</f>
        <v>2.7469999999999999</v>
      </c>
      <c r="E79">
        <f>'02_Loan_Portfolio'!K77</f>
        <v>4.282</v>
      </c>
      <c r="F79" t="str">
        <f t="shared" si="2"/>
        <v>Amber</v>
      </c>
      <c r="G79" t="str">
        <f t="shared" si="3"/>
        <v>Normal</v>
      </c>
    </row>
    <row r="80" spans="1:7">
      <c r="A80" t="str">
        <f>'02_Loan_Portfolio'!A78</f>
        <v>LN00077</v>
      </c>
      <c r="B80" t="str">
        <f>'02_Loan_Portfolio'!E78</f>
        <v>BB</v>
      </c>
      <c r="C80">
        <f>'02_Loan_Portfolio'!L78</f>
        <v>5</v>
      </c>
      <c r="D80">
        <f>'02_Loan_Portfolio'!J78</f>
        <v>0.378</v>
      </c>
      <c r="E80">
        <f>'02_Loan_Portfolio'!K78</f>
        <v>2.1480000000000001</v>
      </c>
      <c r="F80" t="str">
        <f t="shared" si="2"/>
        <v>Red</v>
      </c>
      <c r="G80" t="str">
        <f t="shared" si="3"/>
        <v>DSCR weakness</v>
      </c>
    </row>
    <row r="81" spans="1:7">
      <c r="A81" t="str">
        <f>'02_Loan_Portfolio'!A79</f>
        <v>LN00078</v>
      </c>
      <c r="B81" t="str">
        <f>'02_Loan_Portfolio'!E79</f>
        <v>A</v>
      </c>
      <c r="C81">
        <f>'02_Loan_Portfolio'!L79</f>
        <v>65</v>
      </c>
      <c r="D81">
        <f>'02_Loan_Portfolio'!J79</f>
        <v>2.1160000000000001</v>
      </c>
      <c r="E81">
        <f>'02_Loan_Portfolio'!K79</f>
        <v>1.4450000000000001</v>
      </c>
      <c r="F81" t="str">
        <f t="shared" si="2"/>
        <v>Red</v>
      </c>
      <c r="G81" t="str">
        <f t="shared" si="3"/>
        <v>DPD deterioration</v>
      </c>
    </row>
    <row r="82" spans="1:7">
      <c r="A82" t="str">
        <f>'02_Loan_Portfolio'!A80</f>
        <v>LN00079</v>
      </c>
      <c r="B82" t="str">
        <f>'02_Loan_Portfolio'!E80</f>
        <v>BB</v>
      </c>
      <c r="C82">
        <f>'02_Loan_Portfolio'!L80</f>
        <v>0</v>
      </c>
      <c r="D82">
        <f>'02_Loan_Portfolio'!J80</f>
        <v>2.431</v>
      </c>
      <c r="E82">
        <f>'02_Loan_Portfolio'!K80</f>
        <v>5.2850000000000001</v>
      </c>
      <c r="F82" t="str">
        <f t="shared" si="2"/>
        <v>Red</v>
      </c>
      <c r="G82" t="str">
        <f t="shared" si="3"/>
        <v>High leverage</v>
      </c>
    </row>
    <row r="83" spans="1:7">
      <c r="A83" t="str">
        <f>'02_Loan_Portfolio'!A81</f>
        <v>LN00080</v>
      </c>
      <c r="B83" t="str">
        <f>'02_Loan_Portfolio'!E81</f>
        <v>BBB</v>
      </c>
      <c r="C83">
        <f>'02_Loan_Portfolio'!L81</f>
        <v>0</v>
      </c>
      <c r="D83">
        <f>'02_Loan_Portfolio'!J81</f>
        <v>2.1040000000000001</v>
      </c>
      <c r="E83">
        <f>'02_Loan_Portfolio'!K81</f>
        <v>3.4660000000000002</v>
      </c>
      <c r="F83" t="str">
        <f t="shared" si="2"/>
        <v>Green</v>
      </c>
      <c r="G83" t="str">
        <f t="shared" si="3"/>
        <v>Normal</v>
      </c>
    </row>
    <row r="84" spans="1:7">
      <c r="A84" t="str">
        <f>'02_Loan_Portfolio'!A82</f>
        <v>LN00081</v>
      </c>
      <c r="B84" t="str">
        <f>'02_Loan_Portfolio'!E82</f>
        <v>BBB</v>
      </c>
      <c r="C84">
        <f>'02_Loan_Portfolio'!L82</f>
        <v>0</v>
      </c>
      <c r="D84">
        <f>'02_Loan_Portfolio'!J82</f>
        <v>1.228</v>
      </c>
      <c r="E84">
        <f>'02_Loan_Portfolio'!K82</f>
        <v>2.988</v>
      </c>
      <c r="F84" t="str">
        <f t="shared" si="2"/>
        <v>Amber</v>
      </c>
      <c r="G84" t="str">
        <f t="shared" si="3"/>
        <v>Normal</v>
      </c>
    </row>
    <row r="85" spans="1:7">
      <c r="A85" t="str">
        <f>'02_Loan_Portfolio'!A83</f>
        <v>LN00082</v>
      </c>
      <c r="B85" t="str">
        <f>'02_Loan_Portfolio'!E83</f>
        <v>BBB</v>
      </c>
      <c r="C85">
        <f>'02_Loan_Portfolio'!L83</f>
        <v>15</v>
      </c>
      <c r="D85">
        <f>'02_Loan_Portfolio'!J83</f>
        <v>1.1739999999999999</v>
      </c>
      <c r="E85">
        <f>'02_Loan_Portfolio'!K83</f>
        <v>4.6929999999999996</v>
      </c>
      <c r="F85" t="str">
        <f t="shared" si="2"/>
        <v>Amber</v>
      </c>
      <c r="G85" t="str">
        <f t="shared" si="3"/>
        <v>Normal</v>
      </c>
    </row>
    <row r="86" spans="1:7">
      <c r="A86" t="str">
        <f>'02_Loan_Portfolio'!A84</f>
        <v>LN00083</v>
      </c>
      <c r="B86" t="str">
        <f>'02_Loan_Portfolio'!E84</f>
        <v>AAA</v>
      </c>
      <c r="C86">
        <f>'02_Loan_Portfolio'!L84</f>
        <v>0</v>
      </c>
      <c r="D86">
        <f>'02_Loan_Portfolio'!J84</f>
        <v>1.246</v>
      </c>
      <c r="E86">
        <f>'02_Loan_Portfolio'!K84</f>
        <v>3.415</v>
      </c>
      <c r="F86" t="str">
        <f t="shared" si="2"/>
        <v>Amber</v>
      </c>
      <c r="G86" t="str">
        <f t="shared" si="3"/>
        <v>Normal</v>
      </c>
    </row>
    <row r="87" spans="1:7">
      <c r="A87" t="str">
        <f>'02_Loan_Portfolio'!A85</f>
        <v>LN00084</v>
      </c>
      <c r="B87" t="str">
        <f>'02_Loan_Portfolio'!E85</f>
        <v>B</v>
      </c>
      <c r="C87">
        <f>'02_Loan_Portfolio'!L85</f>
        <v>0</v>
      </c>
      <c r="D87">
        <f>'02_Loan_Portfolio'!J85</f>
        <v>2.4249999999999998</v>
      </c>
      <c r="E87">
        <f>'02_Loan_Portfolio'!K85</f>
        <v>1.516</v>
      </c>
      <c r="F87" t="str">
        <f t="shared" si="2"/>
        <v>Green</v>
      </c>
      <c r="G87" t="str">
        <f t="shared" si="3"/>
        <v>Normal</v>
      </c>
    </row>
    <row r="88" spans="1:7">
      <c r="A88" t="str">
        <f>'02_Loan_Portfolio'!A86</f>
        <v>LN00085</v>
      </c>
      <c r="B88" t="str">
        <f>'02_Loan_Portfolio'!E86</f>
        <v>BBB</v>
      </c>
      <c r="C88">
        <f>'02_Loan_Portfolio'!L86</f>
        <v>15</v>
      </c>
      <c r="D88">
        <f>'02_Loan_Portfolio'!J86</f>
        <v>1.242</v>
      </c>
      <c r="E88">
        <f>'02_Loan_Portfolio'!K86</f>
        <v>2.7109999999999999</v>
      </c>
      <c r="F88" t="str">
        <f t="shared" si="2"/>
        <v>Amber</v>
      </c>
      <c r="G88" t="str">
        <f t="shared" si="3"/>
        <v>Normal</v>
      </c>
    </row>
    <row r="89" spans="1:7">
      <c r="A89" t="str">
        <f>'02_Loan_Portfolio'!A87</f>
        <v>LN00086</v>
      </c>
      <c r="B89" t="str">
        <f>'02_Loan_Portfolio'!E87</f>
        <v>BB</v>
      </c>
      <c r="C89">
        <f>'02_Loan_Portfolio'!L87</f>
        <v>0</v>
      </c>
      <c r="D89">
        <f>'02_Loan_Portfolio'!J87</f>
        <v>2.34</v>
      </c>
      <c r="E89">
        <f>'02_Loan_Portfolio'!K87</f>
        <v>3.8290000000000002</v>
      </c>
      <c r="F89" t="str">
        <f t="shared" si="2"/>
        <v>Green</v>
      </c>
      <c r="G89" t="str">
        <f t="shared" si="3"/>
        <v>Normal</v>
      </c>
    </row>
    <row r="90" spans="1:7">
      <c r="A90" t="str">
        <f>'02_Loan_Portfolio'!A88</f>
        <v>LN00087</v>
      </c>
      <c r="B90" t="str">
        <f>'02_Loan_Portfolio'!E88</f>
        <v>AA</v>
      </c>
      <c r="C90">
        <f>'02_Loan_Portfolio'!L88</f>
        <v>0</v>
      </c>
      <c r="D90">
        <f>'02_Loan_Portfolio'!J88</f>
        <v>2.2810000000000001</v>
      </c>
      <c r="E90">
        <f>'02_Loan_Portfolio'!K88</f>
        <v>5.4</v>
      </c>
      <c r="F90" t="str">
        <f t="shared" si="2"/>
        <v>Red</v>
      </c>
      <c r="G90" t="str">
        <f t="shared" si="3"/>
        <v>High leverage</v>
      </c>
    </row>
    <row r="91" spans="1:7">
      <c r="A91" t="str">
        <f>'02_Loan_Portfolio'!A89</f>
        <v>LN00088</v>
      </c>
      <c r="B91" t="str">
        <f>'02_Loan_Portfolio'!E89</f>
        <v>CCC</v>
      </c>
      <c r="C91">
        <f>'02_Loan_Portfolio'!L89</f>
        <v>0</v>
      </c>
      <c r="D91">
        <f>'02_Loan_Portfolio'!J89</f>
        <v>1.706</v>
      </c>
      <c r="E91">
        <f>'02_Loan_Portfolio'!K89</f>
        <v>2.8860000000000001</v>
      </c>
      <c r="F91" t="str">
        <f t="shared" si="2"/>
        <v>Green</v>
      </c>
      <c r="G91" t="str">
        <f t="shared" si="3"/>
        <v>Normal</v>
      </c>
    </row>
    <row r="92" spans="1:7">
      <c r="A92" t="str">
        <f>'02_Loan_Portfolio'!A90</f>
        <v>LN00089</v>
      </c>
      <c r="B92" t="str">
        <f>'02_Loan_Portfolio'!E90</f>
        <v>BBB</v>
      </c>
      <c r="C92">
        <f>'02_Loan_Portfolio'!L90</f>
        <v>35</v>
      </c>
      <c r="D92">
        <f>'02_Loan_Portfolio'!J90</f>
        <v>1.899</v>
      </c>
      <c r="E92">
        <f>'02_Loan_Portfolio'!K90</f>
        <v>2.702</v>
      </c>
      <c r="F92" t="str">
        <f t="shared" si="2"/>
        <v>Red</v>
      </c>
      <c r="G92" t="str">
        <f t="shared" si="3"/>
        <v>DPD deterioration</v>
      </c>
    </row>
    <row r="93" spans="1:7">
      <c r="A93" t="str">
        <f>'02_Loan_Portfolio'!A91</f>
        <v>LN00090</v>
      </c>
      <c r="B93" t="str">
        <f>'02_Loan_Portfolio'!E91</f>
        <v>A</v>
      </c>
      <c r="C93">
        <f>'02_Loan_Portfolio'!L91</f>
        <v>5</v>
      </c>
      <c r="D93">
        <f>'02_Loan_Portfolio'!J91</f>
        <v>2.3959999999999999</v>
      </c>
      <c r="E93">
        <f>'02_Loan_Portfolio'!K91</f>
        <v>4.7930000000000001</v>
      </c>
      <c r="F93" t="str">
        <f t="shared" si="2"/>
        <v>Amber</v>
      </c>
      <c r="G93" t="str">
        <f t="shared" si="3"/>
        <v>Normal</v>
      </c>
    </row>
    <row r="94" spans="1:7">
      <c r="A94" t="str">
        <f>'02_Loan_Portfolio'!A92</f>
        <v>LN00091</v>
      </c>
      <c r="B94" t="str">
        <f>'02_Loan_Portfolio'!E92</f>
        <v>BB</v>
      </c>
      <c r="C94">
        <f>'02_Loan_Portfolio'!L92</f>
        <v>0</v>
      </c>
      <c r="D94">
        <f>'02_Loan_Portfolio'!J92</f>
        <v>1.6479999999999999</v>
      </c>
      <c r="E94">
        <f>'02_Loan_Portfolio'!K92</f>
        <v>3.2930000000000001</v>
      </c>
      <c r="F94" t="str">
        <f t="shared" si="2"/>
        <v>Green</v>
      </c>
      <c r="G94" t="str">
        <f t="shared" si="3"/>
        <v>Normal</v>
      </c>
    </row>
    <row r="95" spans="1:7">
      <c r="A95" t="str">
        <f>'02_Loan_Portfolio'!A93</f>
        <v>LN00092</v>
      </c>
      <c r="B95" t="str">
        <f>'02_Loan_Portfolio'!E93</f>
        <v>BB</v>
      </c>
      <c r="C95">
        <f>'02_Loan_Portfolio'!L93</f>
        <v>15</v>
      </c>
      <c r="D95">
        <f>'02_Loan_Portfolio'!J93</f>
        <v>1.5660000000000001</v>
      </c>
      <c r="E95">
        <f>'02_Loan_Portfolio'!K93</f>
        <v>3.7829999999999999</v>
      </c>
      <c r="F95" t="str">
        <f t="shared" si="2"/>
        <v>Amber</v>
      </c>
      <c r="G95" t="str">
        <f t="shared" si="3"/>
        <v>Normal</v>
      </c>
    </row>
    <row r="96" spans="1:7">
      <c r="A96" t="str">
        <f>'02_Loan_Portfolio'!A94</f>
        <v>LN00093</v>
      </c>
      <c r="B96" t="str">
        <f>'02_Loan_Portfolio'!E94</f>
        <v>BB</v>
      </c>
      <c r="C96">
        <f>'02_Loan_Portfolio'!L94</f>
        <v>0</v>
      </c>
      <c r="D96">
        <f>'02_Loan_Portfolio'!J94</f>
        <v>1.407</v>
      </c>
      <c r="E96">
        <f>'02_Loan_Portfolio'!K94</f>
        <v>3.4470000000000001</v>
      </c>
      <c r="F96" t="str">
        <f t="shared" si="2"/>
        <v>Green</v>
      </c>
      <c r="G96" t="str">
        <f t="shared" si="3"/>
        <v>Normal</v>
      </c>
    </row>
    <row r="97" spans="1:7">
      <c r="A97" t="str">
        <f>'02_Loan_Portfolio'!A95</f>
        <v>LN00094</v>
      </c>
      <c r="B97" t="str">
        <f>'02_Loan_Portfolio'!E95</f>
        <v>B</v>
      </c>
      <c r="C97">
        <f>'02_Loan_Portfolio'!L95</f>
        <v>35</v>
      </c>
      <c r="D97">
        <f>'02_Loan_Portfolio'!J95</f>
        <v>1.895</v>
      </c>
      <c r="E97">
        <f>'02_Loan_Portfolio'!K95</f>
        <v>2.4750000000000001</v>
      </c>
      <c r="F97" t="str">
        <f t="shared" si="2"/>
        <v>Red</v>
      </c>
      <c r="G97" t="str">
        <f t="shared" si="3"/>
        <v>DPD deterioration</v>
      </c>
    </row>
    <row r="98" spans="1:7">
      <c r="A98" t="str">
        <f>'02_Loan_Portfolio'!A96</f>
        <v>LN00095</v>
      </c>
      <c r="B98" t="str">
        <f>'02_Loan_Portfolio'!E96</f>
        <v>A</v>
      </c>
      <c r="C98">
        <f>'02_Loan_Portfolio'!L96</f>
        <v>0</v>
      </c>
      <c r="D98">
        <f>'02_Loan_Portfolio'!J96</f>
        <v>2.2709999999999999</v>
      </c>
      <c r="E98">
        <f>'02_Loan_Portfolio'!K96</f>
        <v>4.1360000000000001</v>
      </c>
      <c r="F98" t="str">
        <f t="shared" si="2"/>
        <v>Amber</v>
      </c>
      <c r="G98" t="str">
        <f t="shared" si="3"/>
        <v>Normal</v>
      </c>
    </row>
    <row r="99" spans="1:7">
      <c r="A99" t="str">
        <f>'02_Loan_Portfolio'!A97</f>
        <v>LN00096</v>
      </c>
      <c r="B99" t="str">
        <f>'02_Loan_Portfolio'!E97</f>
        <v>CCC</v>
      </c>
      <c r="C99">
        <f>'02_Loan_Portfolio'!L97</f>
        <v>15</v>
      </c>
      <c r="D99">
        <f>'02_Loan_Portfolio'!J97</f>
        <v>1.2270000000000001</v>
      </c>
      <c r="E99">
        <f>'02_Loan_Portfolio'!K97</f>
        <v>1.1950000000000001</v>
      </c>
      <c r="F99" t="str">
        <f t="shared" si="2"/>
        <v>Amber</v>
      </c>
      <c r="G99" t="str">
        <f t="shared" si="3"/>
        <v>Normal</v>
      </c>
    </row>
    <row r="100" spans="1:7">
      <c r="A100" t="str">
        <f>'02_Loan_Portfolio'!A98</f>
        <v>LN00097</v>
      </c>
      <c r="B100" t="str">
        <f>'02_Loan_Portfolio'!E98</f>
        <v>BB</v>
      </c>
      <c r="C100">
        <f>'02_Loan_Portfolio'!L98</f>
        <v>0</v>
      </c>
      <c r="D100">
        <f>'02_Loan_Portfolio'!J98</f>
        <v>1.133</v>
      </c>
      <c r="E100">
        <f>'02_Loan_Portfolio'!K98</f>
        <v>4.0839999999999996</v>
      </c>
      <c r="F100" t="str">
        <f t="shared" si="2"/>
        <v>Amber</v>
      </c>
      <c r="G100" t="str">
        <f t="shared" si="3"/>
        <v>Normal</v>
      </c>
    </row>
    <row r="101" spans="1:7">
      <c r="A101" t="str">
        <f>'02_Loan_Portfolio'!A99</f>
        <v>LN00098</v>
      </c>
      <c r="B101" t="str">
        <f>'02_Loan_Portfolio'!E99</f>
        <v>B</v>
      </c>
      <c r="C101">
        <f>'02_Loan_Portfolio'!L99</f>
        <v>0</v>
      </c>
      <c r="D101">
        <f>'02_Loan_Portfolio'!J99</f>
        <v>1.71</v>
      </c>
      <c r="E101">
        <f>'02_Loan_Portfolio'!K99</f>
        <v>2.0609999999999999</v>
      </c>
      <c r="F101" t="str">
        <f t="shared" si="2"/>
        <v>Green</v>
      </c>
      <c r="G101" t="str">
        <f t="shared" si="3"/>
        <v>Normal</v>
      </c>
    </row>
    <row r="102" spans="1:7">
      <c r="A102" t="str">
        <f>'02_Loan_Portfolio'!A100</f>
        <v>LN00099</v>
      </c>
      <c r="B102" t="str">
        <f>'02_Loan_Portfolio'!E100</f>
        <v>AA</v>
      </c>
      <c r="C102">
        <f>'02_Loan_Portfolio'!L100</f>
        <v>0</v>
      </c>
      <c r="D102">
        <f>'02_Loan_Portfolio'!J100</f>
        <v>1.6830000000000001</v>
      </c>
      <c r="E102">
        <f>'02_Loan_Portfolio'!K100</f>
        <v>2.1739999999999999</v>
      </c>
      <c r="F102" t="str">
        <f t="shared" si="2"/>
        <v>Green</v>
      </c>
      <c r="G102" t="str">
        <f t="shared" si="3"/>
        <v>Normal</v>
      </c>
    </row>
    <row r="103" spans="1:7">
      <c r="A103" t="str">
        <f>'02_Loan_Portfolio'!A101</f>
        <v>LN00100</v>
      </c>
      <c r="B103" t="str">
        <f>'02_Loan_Portfolio'!E101</f>
        <v>BB</v>
      </c>
      <c r="C103">
        <f>'02_Loan_Portfolio'!L101</f>
        <v>0</v>
      </c>
      <c r="D103">
        <f>'02_Loan_Portfolio'!J101</f>
        <v>1.1539999999999999</v>
      </c>
      <c r="E103">
        <f>'02_Loan_Portfolio'!K101</f>
        <v>1.139</v>
      </c>
      <c r="F103" t="str">
        <f t="shared" si="2"/>
        <v>Amber</v>
      </c>
      <c r="G103" t="str">
        <f t="shared" si="3"/>
        <v>Normal</v>
      </c>
    </row>
    <row r="104" spans="1:7">
      <c r="A104" t="str">
        <f>'02_Loan_Portfolio'!A102</f>
        <v>LN00101</v>
      </c>
      <c r="B104" t="str">
        <f>'02_Loan_Portfolio'!E102</f>
        <v>BBB</v>
      </c>
      <c r="C104">
        <f>'02_Loan_Portfolio'!L102</f>
        <v>0</v>
      </c>
      <c r="D104">
        <f>'02_Loan_Portfolio'!J102</f>
        <v>1.64</v>
      </c>
      <c r="E104">
        <f>'02_Loan_Portfolio'!K102</f>
        <v>2.169</v>
      </c>
      <c r="F104" t="str">
        <f t="shared" si="2"/>
        <v>Green</v>
      </c>
      <c r="G104" t="str">
        <f t="shared" si="3"/>
        <v>Normal</v>
      </c>
    </row>
    <row r="105" spans="1:7">
      <c r="A105" t="str">
        <f>'02_Loan_Portfolio'!A103</f>
        <v>LN00102</v>
      </c>
      <c r="B105" t="str">
        <f>'02_Loan_Portfolio'!E103</f>
        <v>A</v>
      </c>
      <c r="C105">
        <f>'02_Loan_Portfolio'!L103</f>
        <v>65</v>
      </c>
      <c r="D105">
        <f>'02_Loan_Portfolio'!J103</f>
        <v>0.67700000000000005</v>
      </c>
      <c r="E105">
        <f>'02_Loan_Portfolio'!K103</f>
        <v>5.6680000000000001</v>
      </c>
      <c r="F105" t="str">
        <f t="shared" si="2"/>
        <v>Red</v>
      </c>
      <c r="G105" t="str">
        <f t="shared" si="3"/>
        <v>DPD deterioration</v>
      </c>
    </row>
    <row r="106" spans="1:7">
      <c r="A106" t="str">
        <f>'02_Loan_Portfolio'!A104</f>
        <v>LN00103</v>
      </c>
      <c r="B106" t="str">
        <f>'02_Loan_Portfolio'!E104</f>
        <v>BBB</v>
      </c>
      <c r="C106">
        <f>'02_Loan_Portfolio'!L104</f>
        <v>0</v>
      </c>
      <c r="D106">
        <f>'02_Loan_Portfolio'!J104</f>
        <v>1.401</v>
      </c>
      <c r="E106">
        <f>'02_Loan_Portfolio'!K104</f>
        <v>2.0209999999999999</v>
      </c>
      <c r="F106" t="str">
        <f t="shared" si="2"/>
        <v>Green</v>
      </c>
      <c r="G106" t="str">
        <f t="shared" si="3"/>
        <v>Normal</v>
      </c>
    </row>
    <row r="107" spans="1:7">
      <c r="A107" t="str">
        <f>'02_Loan_Portfolio'!A105</f>
        <v>LN00104</v>
      </c>
      <c r="B107" t="str">
        <f>'02_Loan_Portfolio'!E105</f>
        <v>BB</v>
      </c>
      <c r="C107">
        <f>'02_Loan_Portfolio'!L105</f>
        <v>0</v>
      </c>
      <c r="D107">
        <f>'02_Loan_Portfolio'!J105</f>
        <v>2.0619999999999998</v>
      </c>
      <c r="E107">
        <f>'02_Loan_Portfolio'!K105</f>
        <v>1.196</v>
      </c>
      <c r="F107" t="str">
        <f t="shared" si="2"/>
        <v>Green</v>
      </c>
      <c r="G107" t="str">
        <f t="shared" si="3"/>
        <v>Normal</v>
      </c>
    </row>
    <row r="108" spans="1:7">
      <c r="A108" t="str">
        <f>'02_Loan_Portfolio'!A106</f>
        <v>LN00105</v>
      </c>
      <c r="B108" t="str">
        <f>'02_Loan_Portfolio'!E106</f>
        <v>B</v>
      </c>
      <c r="C108">
        <f>'02_Loan_Portfolio'!L106</f>
        <v>0</v>
      </c>
      <c r="D108">
        <f>'02_Loan_Portfolio'!J106</f>
        <v>0.59</v>
      </c>
      <c r="E108">
        <f>'02_Loan_Portfolio'!K106</f>
        <v>1.552</v>
      </c>
      <c r="F108" t="str">
        <f t="shared" si="2"/>
        <v>Red</v>
      </c>
      <c r="G108" t="str">
        <f t="shared" si="3"/>
        <v>DSCR weakness</v>
      </c>
    </row>
    <row r="109" spans="1:7">
      <c r="A109" t="str">
        <f>'02_Loan_Portfolio'!A107</f>
        <v>LN00106</v>
      </c>
      <c r="B109" t="str">
        <f>'02_Loan_Portfolio'!E107</f>
        <v>BB</v>
      </c>
      <c r="C109">
        <f>'02_Loan_Portfolio'!L107</f>
        <v>65</v>
      </c>
      <c r="D109">
        <f>'02_Loan_Portfolio'!J107</f>
        <v>1.7609999999999999</v>
      </c>
      <c r="E109">
        <f>'02_Loan_Portfolio'!K107</f>
        <v>4.7190000000000003</v>
      </c>
      <c r="F109" t="str">
        <f t="shared" si="2"/>
        <v>Red</v>
      </c>
      <c r="G109" t="str">
        <f t="shared" si="3"/>
        <v>DPD deterioration</v>
      </c>
    </row>
    <row r="110" spans="1:7">
      <c r="A110" t="str">
        <f>'02_Loan_Portfolio'!A108</f>
        <v>LN00107</v>
      </c>
      <c r="B110" t="str">
        <f>'02_Loan_Portfolio'!E108</f>
        <v>A</v>
      </c>
      <c r="C110">
        <f>'02_Loan_Portfolio'!L108</f>
        <v>5</v>
      </c>
      <c r="D110">
        <f>'02_Loan_Portfolio'!J108</f>
        <v>1.127</v>
      </c>
      <c r="E110">
        <f>'02_Loan_Portfolio'!K108</f>
        <v>2.903</v>
      </c>
      <c r="F110" t="str">
        <f t="shared" si="2"/>
        <v>Amber</v>
      </c>
      <c r="G110" t="str">
        <f t="shared" si="3"/>
        <v>Normal</v>
      </c>
    </row>
    <row r="111" spans="1:7">
      <c r="A111" t="str">
        <f>'02_Loan_Portfolio'!A109</f>
        <v>LN00108</v>
      </c>
      <c r="B111" t="str">
        <f>'02_Loan_Portfolio'!E109</f>
        <v>CCC</v>
      </c>
      <c r="C111">
        <f>'02_Loan_Portfolio'!L109</f>
        <v>35</v>
      </c>
      <c r="D111">
        <f>'02_Loan_Portfolio'!J109</f>
        <v>1.2450000000000001</v>
      </c>
      <c r="E111">
        <f>'02_Loan_Portfolio'!K109</f>
        <v>2.5110000000000001</v>
      </c>
      <c r="F111" t="str">
        <f t="shared" si="2"/>
        <v>Red</v>
      </c>
      <c r="G111" t="str">
        <f t="shared" si="3"/>
        <v>DPD deterioration</v>
      </c>
    </row>
    <row r="112" spans="1:7">
      <c r="A112" t="str">
        <f>'02_Loan_Portfolio'!A110</f>
        <v>LN00109</v>
      </c>
      <c r="B112" t="str">
        <f>'02_Loan_Portfolio'!E110</f>
        <v>BBB</v>
      </c>
      <c r="C112">
        <f>'02_Loan_Portfolio'!L110</f>
        <v>5</v>
      </c>
      <c r="D112">
        <f>'02_Loan_Portfolio'!J110</f>
        <v>1.331</v>
      </c>
      <c r="E112">
        <f>'02_Loan_Portfolio'!K110</f>
        <v>2.653</v>
      </c>
      <c r="F112" t="str">
        <f t="shared" si="2"/>
        <v>Amber</v>
      </c>
      <c r="G112" t="str">
        <f t="shared" si="3"/>
        <v>Normal</v>
      </c>
    </row>
    <row r="113" spans="1:7">
      <c r="A113" t="str">
        <f>'02_Loan_Portfolio'!A111</f>
        <v>LN00110</v>
      </c>
      <c r="B113" t="str">
        <f>'02_Loan_Portfolio'!E111</f>
        <v>B</v>
      </c>
      <c r="C113">
        <f>'02_Loan_Portfolio'!L111</f>
        <v>0</v>
      </c>
      <c r="D113">
        <f>'02_Loan_Portfolio'!J111</f>
        <v>2.4750000000000001</v>
      </c>
      <c r="E113">
        <f>'02_Loan_Portfolio'!K111</f>
        <v>5.9829999999999997</v>
      </c>
      <c r="F113" t="str">
        <f t="shared" si="2"/>
        <v>Red</v>
      </c>
      <c r="G113" t="str">
        <f t="shared" si="3"/>
        <v>High leverage</v>
      </c>
    </row>
    <row r="114" spans="1:7">
      <c r="A114" t="str">
        <f>'02_Loan_Portfolio'!A112</f>
        <v>LN00111</v>
      </c>
      <c r="B114" t="str">
        <f>'02_Loan_Portfolio'!E112</f>
        <v>CCC</v>
      </c>
      <c r="C114">
        <f>'02_Loan_Portfolio'!L112</f>
        <v>0</v>
      </c>
      <c r="D114">
        <f>'02_Loan_Portfolio'!J112</f>
        <v>1.7949999999999999</v>
      </c>
      <c r="E114">
        <f>'02_Loan_Portfolio'!K112</f>
        <v>3.956</v>
      </c>
      <c r="F114" t="str">
        <f t="shared" si="2"/>
        <v>Green</v>
      </c>
      <c r="G114" t="str">
        <f t="shared" si="3"/>
        <v>Normal</v>
      </c>
    </row>
    <row r="115" spans="1:7">
      <c r="A115" t="str">
        <f>'02_Loan_Portfolio'!A113</f>
        <v>LN00112</v>
      </c>
      <c r="B115" t="str">
        <f>'02_Loan_Portfolio'!E113</f>
        <v>AA</v>
      </c>
      <c r="C115">
        <f>'02_Loan_Portfolio'!L113</f>
        <v>65</v>
      </c>
      <c r="D115">
        <f>'02_Loan_Portfolio'!J113</f>
        <v>1.385</v>
      </c>
      <c r="E115">
        <f>'02_Loan_Portfolio'!K113</f>
        <v>1.94</v>
      </c>
      <c r="F115" t="str">
        <f t="shared" si="2"/>
        <v>Red</v>
      </c>
      <c r="G115" t="str">
        <f t="shared" si="3"/>
        <v>DPD deterioration</v>
      </c>
    </row>
    <row r="116" spans="1:7">
      <c r="A116" t="str">
        <f>'02_Loan_Portfolio'!A114</f>
        <v>LN00113</v>
      </c>
      <c r="B116" t="str">
        <f>'02_Loan_Portfolio'!E114</f>
        <v>BBB</v>
      </c>
      <c r="C116">
        <f>'02_Loan_Portfolio'!L114</f>
        <v>0</v>
      </c>
      <c r="D116">
        <f>'02_Loan_Portfolio'!J114</f>
        <v>2.0579999999999998</v>
      </c>
      <c r="E116">
        <f>'02_Loan_Portfolio'!K114</f>
        <v>3.992</v>
      </c>
      <c r="F116" t="str">
        <f t="shared" si="2"/>
        <v>Green</v>
      </c>
      <c r="G116" t="str">
        <f t="shared" si="3"/>
        <v>Normal</v>
      </c>
    </row>
    <row r="117" spans="1:7">
      <c r="A117" t="str">
        <f>'02_Loan_Portfolio'!A115</f>
        <v>LN00114</v>
      </c>
      <c r="B117" t="str">
        <f>'02_Loan_Portfolio'!E115</f>
        <v>BBB</v>
      </c>
      <c r="C117">
        <f>'02_Loan_Portfolio'!L115</f>
        <v>35</v>
      </c>
      <c r="D117">
        <f>'02_Loan_Portfolio'!J115</f>
        <v>1.665</v>
      </c>
      <c r="E117">
        <f>'02_Loan_Portfolio'!K115</f>
        <v>4.5350000000000001</v>
      </c>
      <c r="F117" t="str">
        <f t="shared" si="2"/>
        <v>Red</v>
      </c>
      <c r="G117" t="str">
        <f t="shared" si="3"/>
        <v>DPD deterioration</v>
      </c>
    </row>
    <row r="118" spans="1:7">
      <c r="A118" t="str">
        <f>'02_Loan_Portfolio'!A116</f>
        <v>LN00115</v>
      </c>
      <c r="B118" t="str">
        <f>'02_Loan_Portfolio'!E116</f>
        <v>BBB</v>
      </c>
      <c r="C118">
        <f>'02_Loan_Portfolio'!L116</f>
        <v>0</v>
      </c>
      <c r="D118">
        <f>'02_Loan_Portfolio'!J116</f>
        <v>1.911</v>
      </c>
      <c r="E118">
        <f>'02_Loan_Portfolio'!K116</f>
        <v>4.7640000000000002</v>
      </c>
      <c r="F118" t="str">
        <f t="shared" si="2"/>
        <v>Amber</v>
      </c>
      <c r="G118" t="str">
        <f t="shared" si="3"/>
        <v>Normal</v>
      </c>
    </row>
    <row r="119" spans="1:7">
      <c r="A119" t="str">
        <f>'02_Loan_Portfolio'!A117</f>
        <v>LN00116</v>
      </c>
      <c r="B119" t="str">
        <f>'02_Loan_Portfolio'!E117</f>
        <v>BB</v>
      </c>
      <c r="C119">
        <f>'02_Loan_Portfolio'!L117</f>
        <v>0</v>
      </c>
      <c r="D119">
        <f>'02_Loan_Portfolio'!J117</f>
        <v>1.663</v>
      </c>
      <c r="E119">
        <f>'02_Loan_Portfolio'!K117</f>
        <v>3.4430000000000001</v>
      </c>
      <c r="F119" t="str">
        <f t="shared" si="2"/>
        <v>Green</v>
      </c>
      <c r="G119" t="str">
        <f t="shared" si="3"/>
        <v>Normal</v>
      </c>
    </row>
    <row r="120" spans="1:7">
      <c r="A120" t="str">
        <f>'02_Loan_Portfolio'!A118</f>
        <v>LN00117</v>
      </c>
      <c r="B120" t="str">
        <f>'02_Loan_Portfolio'!E118</f>
        <v>BB</v>
      </c>
      <c r="C120">
        <f>'02_Loan_Portfolio'!L118</f>
        <v>0</v>
      </c>
      <c r="D120">
        <f>'02_Loan_Portfolio'!J118</f>
        <v>2.4049999999999998</v>
      </c>
      <c r="E120">
        <f>'02_Loan_Portfolio'!K118</f>
        <v>1.4419999999999999</v>
      </c>
      <c r="F120" t="str">
        <f t="shared" si="2"/>
        <v>Green</v>
      </c>
      <c r="G120" t="str">
        <f t="shared" si="3"/>
        <v>Normal</v>
      </c>
    </row>
    <row r="121" spans="1:7">
      <c r="A121" t="str">
        <f>'02_Loan_Portfolio'!A119</f>
        <v>LN00118</v>
      </c>
      <c r="B121" t="str">
        <f>'02_Loan_Portfolio'!E119</f>
        <v>BBB</v>
      </c>
      <c r="C121">
        <f>'02_Loan_Portfolio'!L119</f>
        <v>0</v>
      </c>
      <c r="D121">
        <f>'02_Loan_Portfolio'!J119</f>
        <v>2.613</v>
      </c>
      <c r="E121">
        <f>'02_Loan_Portfolio'!K119</f>
        <v>5.694</v>
      </c>
      <c r="F121" t="str">
        <f t="shared" si="2"/>
        <v>Red</v>
      </c>
      <c r="G121" t="str">
        <f t="shared" si="3"/>
        <v>High leverage</v>
      </c>
    </row>
    <row r="122" spans="1:7">
      <c r="A122" t="str">
        <f>'02_Loan_Portfolio'!A120</f>
        <v>LN00119</v>
      </c>
      <c r="B122" t="str">
        <f>'02_Loan_Portfolio'!E120</f>
        <v>BB</v>
      </c>
      <c r="C122">
        <f>'02_Loan_Portfolio'!L120</f>
        <v>5</v>
      </c>
      <c r="D122">
        <f>'02_Loan_Portfolio'!J120</f>
        <v>2.4060000000000001</v>
      </c>
      <c r="E122">
        <f>'02_Loan_Portfolio'!K120</f>
        <v>5.0389999999999997</v>
      </c>
      <c r="F122" t="str">
        <f t="shared" si="2"/>
        <v>Red</v>
      </c>
      <c r="G122" t="str">
        <f t="shared" si="3"/>
        <v>High leverage</v>
      </c>
    </row>
    <row r="123" spans="1:7">
      <c r="A123" t="str">
        <f>'02_Loan_Portfolio'!A121</f>
        <v>LN00120</v>
      </c>
      <c r="B123" t="str">
        <f>'02_Loan_Portfolio'!E121</f>
        <v>BBB</v>
      </c>
      <c r="C123">
        <f>'02_Loan_Portfolio'!L121</f>
        <v>0</v>
      </c>
      <c r="D123">
        <f>'02_Loan_Portfolio'!J121</f>
        <v>1.03</v>
      </c>
      <c r="E123">
        <f>'02_Loan_Portfolio'!K121</f>
        <v>1.365</v>
      </c>
      <c r="F123" t="str">
        <f t="shared" si="2"/>
        <v>Red</v>
      </c>
      <c r="G123" t="str">
        <f t="shared" si="3"/>
        <v>DSCR weakness</v>
      </c>
    </row>
    <row r="124" spans="1:7">
      <c r="A124" t="str">
        <f>'02_Loan_Portfolio'!A122</f>
        <v>LN00121</v>
      </c>
      <c r="B124" t="str">
        <f>'02_Loan_Portfolio'!E122</f>
        <v>BBB</v>
      </c>
      <c r="C124">
        <f>'02_Loan_Portfolio'!L122</f>
        <v>0</v>
      </c>
      <c r="D124">
        <f>'02_Loan_Portfolio'!J122</f>
        <v>1.4</v>
      </c>
      <c r="E124">
        <f>'02_Loan_Portfolio'!K122</f>
        <v>4.508</v>
      </c>
      <c r="F124" t="str">
        <f t="shared" si="2"/>
        <v>Amber</v>
      </c>
      <c r="G124" t="str">
        <f t="shared" si="3"/>
        <v>Normal</v>
      </c>
    </row>
    <row r="125" spans="1:7">
      <c r="A125" t="str">
        <f>'02_Loan_Portfolio'!A123</f>
        <v>LN00122</v>
      </c>
      <c r="B125" t="str">
        <f>'02_Loan_Portfolio'!E123</f>
        <v>CCC</v>
      </c>
      <c r="C125">
        <f>'02_Loan_Portfolio'!L123</f>
        <v>0</v>
      </c>
      <c r="D125">
        <f>'02_Loan_Portfolio'!J123</f>
        <v>1.921</v>
      </c>
      <c r="E125">
        <f>'02_Loan_Portfolio'!K123</f>
        <v>0.98499999999999999</v>
      </c>
      <c r="F125" t="str">
        <f t="shared" si="2"/>
        <v>Green</v>
      </c>
      <c r="G125" t="str">
        <f t="shared" si="3"/>
        <v>Normal</v>
      </c>
    </row>
    <row r="126" spans="1:7">
      <c r="A126" t="str">
        <f>'02_Loan_Portfolio'!A124</f>
        <v>LN00123</v>
      </c>
      <c r="B126" t="str">
        <f>'02_Loan_Portfolio'!E124</f>
        <v>BBB</v>
      </c>
      <c r="C126">
        <f>'02_Loan_Portfolio'!L124</f>
        <v>0</v>
      </c>
      <c r="D126">
        <f>'02_Loan_Portfolio'!J124</f>
        <v>1.843</v>
      </c>
      <c r="E126">
        <f>'02_Loan_Portfolio'!K124</f>
        <v>0.2</v>
      </c>
      <c r="F126" t="str">
        <f t="shared" si="2"/>
        <v>Green</v>
      </c>
      <c r="G126" t="str">
        <f t="shared" si="3"/>
        <v>Normal</v>
      </c>
    </row>
    <row r="127" spans="1:7">
      <c r="A127" t="str">
        <f>'02_Loan_Portfolio'!A125</f>
        <v>LN00124</v>
      </c>
      <c r="B127" t="str">
        <f>'02_Loan_Portfolio'!E125</f>
        <v>BBB</v>
      </c>
      <c r="C127">
        <f>'02_Loan_Portfolio'!L125</f>
        <v>15</v>
      </c>
      <c r="D127">
        <f>'02_Loan_Portfolio'!J125</f>
        <v>2.5139999999999998</v>
      </c>
      <c r="E127">
        <f>'02_Loan_Portfolio'!K125</f>
        <v>2.2599999999999998</v>
      </c>
      <c r="F127" t="str">
        <f t="shared" si="2"/>
        <v>Amber</v>
      </c>
      <c r="G127" t="str">
        <f t="shared" si="3"/>
        <v>Normal</v>
      </c>
    </row>
    <row r="128" spans="1:7">
      <c r="A128" t="str">
        <f>'02_Loan_Portfolio'!A126</f>
        <v>LN00125</v>
      </c>
      <c r="B128" t="str">
        <f>'02_Loan_Portfolio'!E126</f>
        <v>A</v>
      </c>
      <c r="C128">
        <f>'02_Loan_Portfolio'!L126</f>
        <v>0</v>
      </c>
      <c r="D128">
        <f>'02_Loan_Portfolio'!J126</f>
        <v>2.1960000000000002</v>
      </c>
      <c r="E128">
        <f>'02_Loan_Portfolio'!K126</f>
        <v>4.2130000000000001</v>
      </c>
      <c r="F128" t="str">
        <f t="shared" si="2"/>
        <v>Amber</v>
      </c>
      <c r="G128" t="str">
        <f t="shared" si="3"/>
        <v>Normal</v>
      </c>
    </row>
    <row r="129" spans="1:7">
      <c r="A129" t="str">
        <f>'02_Loan_Portfolio'!A127</f>
        <v>LN00126</v>
      </c>
      <c r="B129" t="str">
        <f>'02_Loan_Portfolio'!E127</f>
        <v>BB</v>
      </c>
      <c r="C129">
        <f>'02_Loan_Portfolio'!L127</f>
        <v>0</v>
      </c>
      <c r="D129">
        <f>'02_Loan_Portfolio'!J127</f>
        <v>1.069</v>
      </c>
      <c r="E129">
        <f>'02_Loan_Portfolio'!K127</f>
        <v>0.77300000000000002</v>
      </c>
      <c r="F129" t="str">
        <f t="shared" si="2"/>
        <v>Red</v>
      </c>
      <c r="G129" t="str">
        <f t="shared" si="3"/>
        <v>DSCR weakness</v>
      </c>
    </row>
    <row r="130" spans="1:7">
      <c r="A130" t="str">
        <f>'02_Loan_Portfolio'!A128</f>
        <v>LN00127</v>
      </c>
      <c r="B130" t="str">
        <f>'02_Loan_Portfolio'!E128</f>
        <v>B</v>
      </c>
      <c r="C130">
        <f>'02_Loan_Portfolio'!L128</f>
        <v>0</v>
      </c>
      <c r="D130">
        <f>'02_Loan_Portfolio'!J128</f>
        <v>2.6419999999999999</v>
      </c>
      <c r="E130">
        <f>'02_Loan_Portfolio'!K128</f>
        <v>4.0039999999999996</v>
      </c>
      <c r="F130" t="str">
        <f t="shared" si="2"/>
        <v>Amber</v>
      </c>
      <c r="G130" t="str">
        <f t="shared" si="3"/>
        <v>Normal</v>
      </c>
    </row>
    <row r="131" spans="1:7">
      <c r="A131" t="str">
        <f>'02_Loan_Portfolio'!A129</f>
        <v>LN00128</v>
      </c>
      <c r="B131" t="str">
        <f>'02_Loan_Portfolio'!E129</f>
        <v>BB</v>
      </c>
      <c r="C131">
        <f>'02_Loan_Portfolio'!L129</f>
        <v>0</v>
      </c>
      <c r="D131">
        <f>'02_Loan_Portfolio'!J129</f>
        <v>1.895</v>
      </c>
      <c r="E131">
        <f>'02_Loan_Portfolio'!K129</f>
        <v>3.8410000000000002</v>
      </c>
      <c r="F131" t="str">
        <f t="shared" si="2"/>
        <v>Green</v>
      </c>
      <c r="G131" t="str">
        <f t="shared" si="3"/>
        <v>Normal</v>
      </c>
    </row>
    <row r="132" spans="1:7">
      <c r="A132" t="str">
        <f>'02_Loan_Portfolio'!A130</f>
        <v>LN00129</v>
      </c>
      <c r="B132" t="str">
        <f>'02_Loan_Portfolio'!E130</f>
        <v>BB</v>
      </c>
      <c r="C132">
        <f>'02_Loan_Portfolio'!L130</f>
        <v>0</v>
      </c>
      <c r="D132">
        <f>'02_Loan_Portfolio'!J130</f>
        <v>1.778</v>
      </c>
      <c r="E132">
        <f>'02_Loan_Portfolio'!K130</f>
        <v>2.7650000000000001</v>
      </c>
      <c r="F132" t="str">
        <f t="shared" ref="F132:F195" si="4">IF(OR(C132&gt;=30,D132&lt;1.1,E132&gt;5),"Red",IF(OR(C132&gt;0,D132&lt;1.3,E132&gt;4),"Amber","Green"))</f>
        <v>Green</v>
      </c>
      <c r="G132" t="str">
        <f t="shared" ref="G132:G195" si="5">IF(C132&gt;=30,"DPD deterioration",IF(D132&lt;1.1,"DSCR weakness",IF(E132&gt;5,"High leverage","Normal")))</f>
        <v>Normal</v>
      </c>
    </row>
    <row r="133" spans="1:7">
      <c r="A133" t="str">
        <f>'02_Loan_Portfolio'!A131</f>
        <v>LN00130</v>
      </c>
      <c r="B133" t="str">
        <f>'02_Loan_Portfolio'!E131</f>
        <v>BBB</v>
      </c>
      <c r="C133">
        <f>'02_Loan_Portfolio'!L131</f>
        <v>0</v>
      </c>
      <c r="D133">
        <f>'02_Loan_Portfolio'!J131</f>
        <v>2.0550000000000002</v>
      </c>
      <c r="E133">
        <f>'02_Loan_Portfolio'!K131</f>
        <v>3.4670000000000001</v>
      </c>
      <c r="F133" t="str">
        <f t="shared" si="4"/>
        <v>Green</v>
      </c>
      <c r="G133" t="str">
        <f t="shared" si="5"/>
        <v>Normal</v>
      </c>
    </row>
    <row r="134" spans="1:7">
      <c r="A134" t="str">
        <f>'02_Loan_Portfolio'!A132</f>
        <v>LN00131</v>
      </c>
      <c r="B134" t="str">
        <f>'02_Loan_Portfolio'!E132</f>
        <v>A</v>
      </c>
      <c r="C134">
        <f>'02_Loan_Portfolio'!L132</f>
        <v>15</v>
      </c>
      <c r="D134">
        <f>'02_Loan_Portfolio'!J132</f>
        <v>1.883</v>
      </c>
      <c r="E134">
        <f>'02_Loan_Portfolio'!K132</f>
        <v>4.5510000000000002</v>
      </c>
      <c r="F134" t="str">
        <f t="shared" si="4"/>
        <v>Amber</v>
      </c>
      <c r="G134" t="str">
        <f t="shared" si="5"/>
        <v>Normal</v>
      </c>
    </row>
    <row r="135" spans="1:7">
      <c r="A135" t="str">
        <f>'02_Loan_Portfolio'!A133</f>
        <v>LN00132</v>
      </c>
      <c r="B135" t="str">
        <f>'02_Loan_Portfolio'!E133</f>
        <v>B</v>
      </c>
      <c r="C135">
        <f>'02_Loan_Portfolio'!L133</f>
        <v>0</v>
      </c>
      <c r="D135">
        <f>'02_Loan_Portfolio'!J133</f>
        <v>2.0329999999999999</v>
      </c>
      <c r="E135">
        <f>'02_Loan_Portfolio'!K133</f>
        <v>2.8610000000000002</v>
      </c>
      <c r="F135" t="str">
        <f t="shared" si="4"/>
        <v>Green</v>
      </c>
      <c r="G135" t="str">
        <f t="shared" si="5"/>
        <v>Normal</v>
      </c>
    </row>
    <row r="136" spans="1:7">
      <c r="A136" t="str">
        <f>'02_Loan_Portfolio'!A134</f>
        <v>LN00133</v>
      </c>
      <c r="B136" t="str">
        <f>'02_Loan_Portfolio'!E134</f>
        <v>A</v>
      </c>
      <c r="C136">
        <f>'02_Loan_Portfolio'!L134</f>
        <v>5</v>
      </c>
      <c r="D136">
        <f>'02_Loan_Portfolio'!J134</f>
        <v>1.863</v>
      </c>
      <c r="E136">
        <f>'02_Loan_Portfolio'!K134</f>
        <v>4.18</v>
      </c>
      <c r="F136" t="str">
        <f t="shared" si="4"/>
        <v>Amber</v>
      </c>
      <c r="G136" t="str">
        <f t="shared" si="5"/>
        <v>Normal</v>
      </c>
    </row>
    <row r="137" spans="1:7">
      <c r="A137" t="str">
        <f>'02_Loan_Portfolio'!A135</f>
        <v>LN00134</v>
      </c>
      <c r="B137" t="str">
        <f>'02_Loan_Portfolio'!E135</f>
        <v>AAA</v>
      </c>
      <c r="C137">
        <f>'02_Loan_Portfolio'!L135</f>
        <v>65</v>
      </c>
      <c r="D137">
        <f>'02_Loan_Portfolio'!J135</f>
        <v>3.423</v>
      </c>
      <c r="E137">
        <f>'02_Loan_Portfolio'!K135</f>
        <v>4.95</v>
      </c>
      <c r="F137" t="str">
        <f t="shared" si="4"/>
        <v>Red</v>
      </c>
      <c r="G137" t="str">
        <f t="shared" si="5"/>
        <v>DPD deterioration</v>
      </c>
    </row>
    <row r="138" spans="1:7">
      <c r="A138" t="str">
        <f>'02_Loan_Portfolio'!A136</f>
        <v>LN00135</v>
      </c>
      <c r="B138" t="str">
        <f>'02_Loan_Portfolio'!E136</f>
        <v>BB</v>
      </c>
      <c r="C138">
        <f>'02_Loan_Portfolio'!L136</f>
        <v>0</v>
      </c>
      <c r="D138">
        <f>'02_Loan_Portfolio'!J136</f>
        <v>1.5049999999999999</v>
      </c>
      <c r="E138">
        <f>'02_Loan_Portfolio'!K136</f>
        <v>2.3540000000000001</v>
      </c>
      <c r="F138" t="str">
        <f t="shared" si="4"/>
        <v>Green</v>
      </c>
      <c r="G138" t="str">
        <f t="shared" si="5"/>
        <v>Normal</v>
      </c>
    </row>
    <row r="139" spans="1:7">
      <c r="A139" t="str">
        <f>'02_Loan_Portfolio'!A137</f>
        <v>LN00136</v>
      </c>
      <c r="B139" t="str">
        <f>'02_Loan_Portfolio'!E137</f>
        <v>BB</v>
      </c>
      <c r="C139">
        <f>'02_Loan_Portfolio'!L137</f>
        <v>0</v>
      </c>
      <c r="D139">
        <f>'02_Loan_Portfolio'!J137</f>
        <v>1.6879999999999999</v>
      </c>
      <c r="E139">
        <f>'02_Loan_Portfolio'!K137</f>
        <v>1.7569999999999999</v>
      </c>
      <c r="F139" t="str">
        <f t="shared" si="4"/>
        <v>Green</v>
      </c>
      <c r="G139" t="str">
        <f t="shared" si="5"/>
        <v>Normal</v>
      </c>
    </row>
    <row r="140" spans="1:7">
      <c r="A140" t="str">
        <f>'02_Loan_Portfolio'!A138</f>
        <v>LN00137</v>
      </c>
      <c r="B140" t="str">
        <f>'02_Loan_Portfolio'!E138</f>
        <v>B</v>
      </c>
      <c r="C140">
        <f>'02_Loan_Portfolio'!L138</f>
        <v>0</v>
      </c>
      <c r="D140">
        <f>'02_Loan_Portfolio'!J138</f>
        <v>1.885</v>
      </c>
      <c r="E140">
        <f>'02_Loan_Portfolio'!K138</f>
        <v>1.417</v>
      </c>
      <c r="F140" t="str">
        <f t="shared" si="4"/>
        <v>Green</v>
      </c>
      <c r="G140" t="str">
        <f t="shared" si="5"/>
        <v>Normal</v>
      </c>
    </row>
    <row r="141" spans="1:7">
      <c r="A141" t="str">
        <f>'02_Loan_Portfolio'!A139</f>
        <v>LN00138</v>
      </c>
      <c r="B141" t="str">
        <f>'02_Loan_Portfolio'!E139</f>
        <v>BB</v>
      </c>
      <c r="C141">
        <f>'02_Loan_Portfolio'!L139</f>
        <v>0</v>
      </c>
      <c r="D141">
        <f>'02_Loan_Portfolio'!J139</f>
        <v>1.129</v>
      </c>
      <c r="E141">
        <f>'02_Loan_Portfolio'!K139</f>
        <v>1.9930000000000001</v>
      </c>
      <c r="F141" t="str">
        <f t="shared" si="4"/>
        <v>Amber</v>
      </c>
      <c r="G141" t="str">
        <f t="shared" si="5"/>
        <v>Normal</v>
      </c>
    </row>
    <row r="142" spans="1:7">
      <c r="A142" t="str">
        <f>'02_Loan_Portfolio'!A140</f>
        <v>LN00139</v>
      </c>
      <c r="B142" t="str">
        <f>'02_Loan_Portfolio'!E140</f>
        <v>AA</v>
      </c>
      <c r="C142">
        <f>'02_Loan_Portfolio'!L140</f>
        <v>5</v>
      </c>
      <c r="D142">
        <f>'02_Loan_Portfolio'!J140</f>
        <v>1.7410000000000001</v>
      </c>
      <c r="E142">
        <f>'02_Loan_Portfolio'!K140</f>
        <v>2.0760000000000001</v>
      </c>
      <c r="F142" t="str">
        <f t="shared" si="4"/>
        <v>Amber</v>
      </c>
      <c r="G142" t="str">
        <f t="shared" si="5"/>
        <v>Normal</v>
      </c>
    </row>
    <row r="143" spans="1:7">
      <c r="A143" t="str">
        <f>'02_Loan_Portfolio'!A141</f>
        <v>LN00140</v>
      </c>
      <c r="B143" t="str">
        <f>'02_Loan_Portfolio'!E141</f>
        <v>BB</v>
      </c>
      <c r="C143">
        <f>'02_Loan_Portfolio'!L141</f>
        <v>0</v>
      </c>
      <c r="D143">
        <f>'02_Loan_Portfolio'!J141</f>
        <v>1.6160000000000001</v>
      </c>
      <c r="E143">
        <f>'02_Loan_Portfolio'!K141</f>
        <v>3.3109999999999999</v>
      </c>
      <c r="F143" t="str">
        <f t="shared" si="4"/>
        <v>Green</v>
      </c>
      <c r="G143" t="str">
        <f t="shared" si="5"/>
        <v>Normal</v>
      </c>
    </row>
    <row r="144" spans="1:7">
      <c r="A144" t="str">
        <f>'02_Loan_Portfolio'!A142</f>
        <v>LN00141</v>
      </c>
      <c r="B144" t="str">
        <f>'02_Loan_Portfolio'!E142</f>
        <v>AA</v>
      </c>
      <c r="C144">
        <f>'02_Loan_Portfolio'!L142</f>
        <v>15</v>
      </c>
      <c r="D144">
        <f>'02_Loan_Portfolio'!J142</f>
        <v>2.2050000000000001</v>
      </c>
      <c r="E144">
        <f>'02_Loan_Portfolio'!K142</f>
        <v>2.3220000000000001</v>
      </c>
      <c r="F144" t="str">
        <f t="shared" si="4"/>
        <v>Amber</v>
      </c>
      <c r="G144" t="str">
        <f t="shared" si="5"/>
        <v>Normal</v>
      </c>
    </row>
    <row r="145" spans="1:7">
      <c r="A145" t="str">
        <f>'02_Loan_Portfolio'!A143</f>
        <v>LN00142</v>
      </c>
      <c r="B145" t="str">
        <f>'02_Loan_Portfolio'!E143</f>
        <v>B</v>
      </c>
      <c r="C145">
        <f>'02_Loan_Portfolio'!L143</f>
        <v>0</v>
      </c>
      <c r="D145">
        <f>'02_Loan_Portfolio'!J143</f>
        <v>2.0670000000000002</v>
      </c>
      <c r="E145">
        <f>'02_Loan_Portfolio'!K143</f>
        <v>3.0350000000000001</v>
      </c>
      <c r="F145" t="str">
        <f t="shared" si="4"/>
        <v>Green</v>
      </c>
      <c r="G145" t="str">
        <f t="shared" si="5"/>
        <v>Normal</v>
      </c>
    </row>
    <row r="146" spans="1:7">
      <c r="A146" t="str">
        <f>'02_Loan_Portfolio'!A144</f>
        <v>LN00143</v>
      </c>
      <c r="B146" t="str">
        <f>'02_Loan_Portfolio'!E144</f>
        <v>BBB</v>
      </c>
      <c r="C146">
        <f>'02_Loan_Portfolio'!L144</f>
        <v>15</v>
      </c>
      <c r="D146">
        <f>'02_Loan_Portfolio'!J144</f>
        <v>2.4580000000000002</v>
      </c>
      <c r="E146">
        <f>'02_Loan_Portfolio'!K144</f>
        <v>2.5619999999999998</v>
      </c>
      <c r="F146" t="str">
        <f t="shared" si="4"/>
        <v>Amber</v>
      </c>
      <c r="G146" t="str">
        <f t="shared" si="5"/>
        <v>Normal</v>
      </c>
    </row>
    <row r="147" spans="1:7">
      <c r="A147" t="str">
        <f>'02_Loan_Portfolio'!A145</f>
        <v>LN00144</v>
      </c>
      <c r="B147" t="str">
        <f>'02_Loan_Portfolio'!E145</f>
        <v>BB</v>
      </c>
      <c r="C147">
        <f>'02_Loan_Portfolio'!L145</f>
        <v>0</v>
      </c>
      <c r="D147">
        <f>'02_Loan_Portfolio'!J145</f>
        <v>1.042</v>
      </c>
      <c r="E147">
        <f>'02_Loan_Portfolio'!K145</f>
        <v>2.0750000000000002</v>
      </c>
      <c r="F147" t="str">
        <f t="shared" si="4"/>
        <v>Red</v>
      </c>
      <c r="G147" t="str">
        <f t="shared" si="5"/>
        <v>DSCR weakness</v>
      </c>
    </row>
    <row r="148" spans="1:7">
      <c r="A148" t="str">
        <f>'02_Loan_Portfolio'!A146</f>
        <v>LN00145</v>
      </c>
      <c r="B148" t="str">
        <f>'02_Loan_Portfolio'!E146</f>
        <v>CCC</v>
      </c>
      <c r="C148">
        <f>'02_Loan_Portfolio'!L146</f>
        <v>65</v>
      </c>
      <c r="D148">
        <f>'02_Loan_Portfolio'!J146</f>
        <v>1.82</v>
      </c>
      <c r="E148">
        <f>'02_Loan_Portfolio'!K146</f>
        <v>3.4380000000000002</v>
      </c>
      <c r="F148" t="str">
        <f t="shared" si="4"/>
        <v>Red</v>
      </c>
      <c r="G148" t="str">
        <f t="shared" si="5"/>
        <v>DPD deterioration</v>
      </c>
    </row>
    <row r="149" spans="1:7">
      <c r="A149" t="str">
        <f>'02_Loan_Portfolio'!A147</f>
        <v>LN00146</v>
      </c>
      <c r="B149" t="str">
        <f>'02_Loan_Portfolio'!E147</f>
        <v>AA</v>
      </c>
      <c r="C149">
        <f>'02_Loan_Portfolio'!L147</f>
        <v>0</v>
      </c>
      <c r="D149">
        <f>'02_Loan_Portfolio'!J147</f>
        <v>0.89900000000000002</v>
      </c>
      <c r="E149">
        <f>'02_Loan_Portfolio'!K147</f>
        <v>4.6079999999999997</v>
      </c>
      <c r="F149" t="str">
        <f t="shared" si="4"/>
        <v>Red</v>
      </c>
      <c r="G149" t="str">
        <f t="shared" si="5"/>
        <v>DSCR weakness</v>
      </c>
    </row>
    <row r="150" spans="1:7">
      <c r="A150" t="str">
        <f>'02_Loan_Portfolio'!A148</f>
        <v>LN00147</v>
      </c>
      <c r="B150" t="str">
        <f>'02_Loan_Portfolio'!E148</f>
        <v>BB</v>
      </c>
      <c r="C150">
        <f>'02_Loan_Portfolio'!L148</f>
        <v>0</v>
      </c>
      <c r="D150">
        <f>'02_Loan_Portfolio'!J148</f>
        <v>1.6859999999999999</v>
      </c>
      <c r="E150">
        <f>'02_Loan_Portfolio'!K148</f>
        <v>5.4279999999999999</v>
      </c>
      <c r="F150" t="str">
        <f t="shared" si="4"/>
        <v>Red</v>
      </c>
      <c r="G150" t="str">
        <f t="shared" si="5"/>
        <v>High leverage</v>
      </c>
    </row>
    <row r="151" spans="1:7">
      <c r="A151" t="str">
        <f>'02_Loan_Portfolio'!A149</f>
        <v>LN00148</v>
      </c>
      <c r="B151" t="str">
        <f>'02_Loan_Portfolio'!E149</f>
        <v>B</v>
      </c>
      <c r="C151">
        <f>'02_Loan_Portfolio'!L149</f>
        <v>0</v>
      </c>
      <c r="D151">
        <f>'02_Loan_Portfolio'!J149</f>
        <v>1.9730000000000001</v>
      </c>
      <c r="E151">
        <f>'02_Loan_Portfolio'!K149</f>
        <v>2.1869999999999998</v>
      </c>
      <c r="F151" t="str">
        <f t="shared" si="4"/>
        <v>Green</v>
      </c>
      <c r="G151" t="str">
        <f t="shared" si="5"/>
        <v>Normal</v>
      </c>
    </row>
    <row r="152" spans="1:7">
      <c r="A152" t="str">
        <f>'02_Loan_Portfolio'!A150</f>
        <v>LN00149</v>
      </c>
      <c r="B152" t="str">
        <f>'02_Loan_Portfolio'!E150</f>
        <v>BB</v>
      </c>
      <c r="C152">
        <f>'02_Loan_Portfolio'!L150</f>
        <v>0</v>
      </c>
      <c r="D152">
        <f>'02_Loan_Portfolio'!J150</f>
        <v>2.2799999999999998</v>
      </c>
      <c r="E152">
        <f>'02_Loan_Portfolio'!K150</f>
        <v>3.3809999999999998</v>
      </c>
      <c r="F152" t="str">
        <f t="shared" si="4"/>
        <v>Green</v>
      </c>
      <c r="G152" t="str">
        <f t="shared" si="5"/>
        <v>Normal</v>
      </c>
    </row>
    <row r="153" spans="1:7">
      <c r="A153" t="str">
        <f>'02_Loan_Portfolio'!A151</f>
        <v>LN00150</v>
      </c>
      <c r="B153" t="str">
        <f>'02_Loan_Portfolio'!E151</f>
        <v>B</v>
      </c>
      <c r="C153">
        <f>'02_Loan_Portfolio'!L151</f>
        <v>0</v>
      </c>
      <c r="D153">
        <f>'02_Loan_Portfolio'!J151</f>
        <v>2.0070000000000001</v>
      </c>
      <c r="E153">
        <f>'02_Loan_Portfolio'!K151</f>
        <v>3.359</v>
      </c>
      <c r="F153" t="str">
        <f t="shared" si="4"/>
        <v>Green</v>
      </c>
      <c r="G153" t="str">
        <f t="shared" si="5"/>
        <v>Normal</v>
      </c>
    </row>
    <row r="154" spans="1:7">
      <c r="A154" t="str">
        <f>'02_Loan_Portfolio'!A152</f>
        <v>LN00151</v>
      </c>
      <c r="B154" t="str">
        <f>'02_Loan_Portfolio'!E152</f>
        <v>CCC</v>
      </c>
      <c r="C154">
        <f>'02_Loan_Portfolio'!L152</f>
        <v>0</v>
      </c>
      <c r="D154">
        <f>'02_Loan_Portfolio'!J152</f>
        <v>2.4750000000000001</v>
      </c>
      <c r="E154">
        <f>'02_Loan_Portfolio'!K152</f>
        <v>0.71099999999999997</v>
      </c>
      <c r="F154" t="str">
        <f t="shared" si="4"/>
        <v>Green</v>
      </c>
      <c r="G154" t="str">
        <f t="shared" si="5"/>
        <v>Normal</v>
      </c>
    </row>
    <row r="155" spans="1:7">
      <c r="A155" t="str">
        <f>'02_Loan_Portfolio'!A153</f>
        <v>LN00152</v>
      </c>
      <c r="B155" t="str">
        <f>'02_Loan_Portfolio'!E153</f>
        <v>BB</v>
      </c>
      <c r="C155">
        <f>'02_Loan_Portfolio'!L153</f>
        <v>15</v>
      </c>
      <c r="D155">
        <f>'02_Loan_Portfolio'!J153</f>
        <v>1.2929999999999999</v>
      </c>
      <c r="E155">
        <f>'02_Loan_Portfolio'!K153</f>
        <v>5.2190000000000003</v>
      </c>
      <c r="F155" t="str">
        <f t="shared" si="4"/>
        <v>Red</v>
      </c>
      <c r="G155" t="str">
        <f t="shared" si="5"/>
        <v>High leverage</v>
      </c>
    </row>
    <row r="156" spans="1:7">
      <c r="A156" t="str">
        <f>'02_Loan_Portfolio'!A154</f>
        <v>LN00153</v>
      </c>
      <c r="B156" t="str">
        <f>'02_Loan_Portfolio'!E154</f>
        <v>BBB</v>
      </c>
      <c r="C156">
        <f>'02_Loan_Portfolio'!L154</f>
        <v>0</v>
      </c>
      <c r="D156">
        <f>'02_Loan_Portfolio'!J154</f>
        <v>1.603</v>
      </c>
      <c r="E156">
        <f>'02_Loan_Portfolio'!K154</f>
        <v>1.36</v>
      </c>
      <c r="F156" t="str">
        <f t="shared" si="4"/>
        <v>Green</v>
      </c>
      <c r="G156" t="str">
        <f t="shared" si="5"/>
        <v>Normal</v>
      </c>
    </row>
    <row r="157" spans="1:7">
      <c r="A157" t="str">
        <f>'02_Loan_Portfolio'!A155</f>
        <v>LN00154</v>
      </c>
      <c r="B157" t="str">
        <f>'02_Loan_Portfolio'!E155</f>
        <v>BBB</v>
      </c>
      <c r="C157">
        <f>'02_Loan_Portfolio'!L155</f>
        <v>0</v>
      </c>
      <c r="D157">
        <f>'02_Loan_Portfolio'!J155</f>
        <v>1.764</v>
      </c>
      <c r="E157">
        <f>'02_Loan_Portfolio'!K155</f>
        <v>3.9409999999999998</v>
      </c>
      <c r="F157" t="str">
        <f t="shared" si="4"/>
        <v>Green</v>
      </c>
      <c r="G157" t="str">
        <f t="shared" si="5"/>
        <v>Normal</v>
      </c>
    </row>
    <row r="158" spans="1:7">
      <c r="A158" t="str">
        <f>'02_Loan_Portfolio'!A156</f>
        <v>LN00155</v>
      </c>
      <c r="B158" t="str">
        <f>'02_Loan_Portfolio'!E156</f>
        <v>A</v>
      </c>
      <c r="C158">
        <f>'02_Loan_Portfolio'!L156</f>
        <v>0</v>
      </c>
      <c r="D158">
        <f>'02_Loan_Portfolio'!J156</f>
        <v>1.95</v>
      </c>
      <c r="E158">
        <f>'02_Loan_Portfolio'!K156</f>
        <v>5.6710000000000003</v>
      </c>
      <c r="F158" t="str">
        <f t="shared" si="4"/>
        <v>Red</v>
      </c>
      <c r="G158" t="str">
        <f t="shared" si="5"/>
        <v>High leverage</v>
      </c>
    </row>
    <row r="159" spans="1:7">
      <c r="A159" t="str">
        <f>'02_Loan_Portfolio'!A157</f>
        <v>LN00156</v>
      </c>
      <c r="B159" t="str">
        <f>'02_Loan_Portfolio'!E157</f>
        <v>BBB</v>
      </c>
      <c r="C159">
        <f>'02_Loan_Portfolio'!L157</f>
        <v>0</v>
      </c>
      <c r="D159">
        <f>'02_Loan_Portfolio'!J157</f>
        <v>1.9059999999999999</v>
      </c>
      <c r="E159">
        <f>'02_Loan_Portfolio'!K157</f>
        <v>1.903</v>
      </c>
      <c r="F159" t="str">
        <f t="shared" si="4"/>
        <v>Green</v>
      </c>
      <c r="G159" t="str">
        <f t="shared" si="5"/>
        <v>Normal</v>
      </c>
    </row>
    <row r="160" spans="1:7">
      <c r="A160" t="str">
        <f>'02_Loan_Portfolio'!A158</f>
        <v>LN00157</v>
      </c>
      <c r="B160" t="str">
        <f>'02_Loan_Portfolio'!E158</f>
        <v>AAA</v>
      </c>
      <c r="C160">
        <f>'02_Loan_Portfolio'!L158</f>
        <v>0</v>
      </c>
      <c r="D160">
        <f>'02_Loan_Portfolio'!J158</f>
        <v>2.2360000000000002</v>
      </c>
      <c r="E160">
        <f>'02_Loan_Portfolio'!K158</f>
        <v>4.3090000000000002</v>
      </c>
      <c r="F160" t="str">
        <f t="shared" si="4"/>
        <v>Amber</v>
      </c>
      <c r="G160" t="str">
        <f t="shared" si="5"/>
        <v>Normal</v>
      </c>
    </row>
    <row r="161" spans="1:7">
      <c r="A161" t="str">
        <f>'02_Loan_Portfolio'!A159</f>
        <v>LN00158</v>
      </c>
      <c r="B161" t="str">
        <f>'02_Loan_Portfolio'!E159</f>
        <v>CCC</v>
      </c>
      <c r="C161">
        <f>'02_Loan_Portfolio'!L159</f>
        <v>0</v>
      </c>
      <c r="D161">
        <f>'02_Loan_Portfolio'!J159</f>
        <v>1.4359999999999999</v>
      </c>
      <c r="E161">
        <f>'02_Loan_Portfolio'!K159</f>
        <v>2.7210000000000001</v>
      </c>
      <c r="F161" t="str">
        <f t="shared" si="4"/>
        <v>Green</v>
      </c>
      <c r="G161" t="str">
        <f t="shared" si="5"/>
        <v>Normal</v>
      </c>
    </row>
    <row r="162" spans="1:7">
      <c r="A162" t="str">
        <f>'02_Loan_Portfolio'!A160</f>
        <v>LN00159</v>
      </c>
      <c r="B162" t="str">
        <f>'02_Loan_Portfolio'!E160</f>
        <v>A</v>
      </c>
      <c r="C162">
        <f>'02_Loan_Portfolio'!L160</f>
        <v>5</v>
      </c>
      <c r="D162">
        <f>'02_Loan_Portfolio'!J160</f>
        <v>2.7519999999999998</v>
      </c>
      <c r="E162">
        <f>'02_Loan_Portfolio'!K160</f>
        <v>3.4590000000000001</v>
      </c>
      <c r="F162" t="str">
        <f t="shared" si="4"/>
        <v>Amber</v>
      </c>
      <c r="G162" t="str">
        <f t="shared" si="5"/>
        <v>Normal</v>
      </c>
    </row>
    <row r="163" spans="1:7">
      <c r="A163" t="str">
        <f>'02_Loan_Portfolio'!A161</f>
        <v>LN00160</v>
      </c>
      <c r="B163" t="str">
        <f>'02_Loan_Portfolio'!E161</f>
        <v>A</v>
      </c>
      <c r="C163">
        <f>'02_Loan_Portfolio'!L161</f>
        <v>5</v>
      </c>
      <c r="D163">
        <f>'02_Loan_Portfolio'!J161</f>
        <v>1.248</v>
      </c>
      <c r="E163">
        <f>'02_Loan_Portfolio'!K161</f>
        <v>3.3839999999999999</v>
      </c>
      <c r="F163" t="str">
        <f t="shared" si="4"/>
        <v>Amber</v>
      </c>
      <c r="G163" t="str">
        <f t="shared" si="5"/>
        <v>Normal</v>
      </c>
    </row>
    <row r="164" spans="1:7">
      <c r="A164" t="str">
        <f>'02_Loan_Portfolio'!A162</f>
        <v>LN00161</v>
      </c>
      <c r="B164" t="str">
        <f>'02_Loan_Portfolio'!E162</f>
        <v>B</v>
      </c>
      <c r="C164">
        <f>'02_Loan_Portfolio'!L162</f>
        <v>0</v>
      </c>
      <c r="D164">
        <f>'02_Loan_Portfolio'!J162</f>
        <v>1.369</v>
      </c>
      <c r="E164">
        <f>'02_Loan_Portfolio'!K162</f>
        <v>2.9460000000000002</v>
      </c>
      <c r="F164" t="str">
        <f t="shared" si="4"/>
        <v>Green</v>
      </c>
      <c r="G164" t="str">
        <f t="shared" si="5"/>
        <v>Normal</v>
      </c>
    </row>
    <row r="165" spans="1:7">
      <c r="A165" t="str">
        <f>'02_Loan_Portfolio'!A163</f>
        <v>LN00162</v>
      </c>
      <c r="B165" t="str">
        <f>'02_Loan_Portfolio'!E163</f>
        <v>AAA</v>
      </c>
      <c r="C165">
        <f>'02_Loan_Portfolio'!L163</f>
        <v>5</v>
      </c>
      <c r="D165">
        <f>'02_Loan_Portfolio'!J163</f>
        <v>1.6519999999999999</v>
      </c>
      <c r="E165">
        <f>'02_Loan_Portfolio'!K163</f>
        <v>2.2850000000000001</v>
      </c>
      <c r="F165" t="str">
        <f t="shared" si="4"/>
        <v>Amber</v>
      </c>
      <c r="G165" t="str">
        <f t="shared" si="5"/>
        <v>Normal</v>
      </c>
    </row>
    <row r="166" spans="1:7">
      <c r="A166" t="str">
        <f>'02_Loan_Portfolio'!A164</f>
        <v>LN00163</v>
      </c>
      <c r="B166" t="str">
        <f>'02_Loan_Portfolio'!E164</f>
        <v>A</v>
      </c>
      <c r="C166">
        <f>'02_Loan_Portfolio'!L164</f>
        <v>0</v>
      </c>
      <c r="D166">
        <f>'02_Loan_Portfolio'!J164</f>
        <v>1.2949999999999999</v>
      </c>
      <c r="E166">
        <f>'02_Loan_Portfolio'!K164</f>
        <v>1.847</v>
      </c>
      <c r="F166" t="str">
        <f t="shared" si="4"/>
        <v>Amber</v>
      </c>
      <c r="G166" t="str">
        <f t="shared" si="5"/>
        <v>Normal</v>
      </c>
    </row>
    <row r="167" spans="1:7">
      <c r="A167" t="str">
        <f>'02_Loan_Portfolio'!A165</f>
        <v>LN00164</v>
      </c>
      <c r="B167" t="str">
        <f>'02_Loan_Portfolio'!E165</f>
        <v>AA</v>
      </c>
      <c r="C167">
        <f>'02_Loan_Portfolio'!L165</f>
        <v>0</v>
      </c>
      <c r="D167">
        <f>'02_Loan_Portfolio'!J165</f>
        <v>2.1920000000000002</v>
      </c>
      <c r="E167">
        <f>'02_Loan_Portfolio'!K165</f>
        <v>0.2</v>
      </c>
      <c r="F167" t="str">
        <f t="shared" si="4"/>
        <v>Green</v>
      </c>
      <c r="G167" t="str">
        <f t="shared" si="5"/>
        <v>Normal</v>
      </c>
    </row>
    <row r="168" spans="1:7">
      <c r="A168" t="str">
        <f>'02_Loan_Portfolio'!A166</f>
        <v>LN00165</v>
      </c>
      <c r="B168" t="str">
        <f>'02_Loan_Portfolio'!E166</f>
        <v>B</v>
      </c>
      <c r="C168">
        <f>'02_Loan_Portfolio'!L166</f>
        <v>0</v>
      </c>
      <c r="D168">
        <f>'02_Loan_Portfolio'!J166</f>
        <v>0.66400000000000003</v>
      </c>
      <c r="E168">
        <f>'02_Loan_Portfolio'!K166</f>
        <v>1.79</v>
      </c>
      <c r="F168" t="str">
        <f t="shared" si="4"/>
        <v>Red</v>
      </c>
      <c r="G168" t="str">
        <f t="shared" si="5"/>
        <v>DSCR weakness</v>
      </c>
    </row>
    <row r="169" spans="1:7">
      <c r="A169" t="str">
        <f>'02_Loan_Portfolio'!A167</f>
        <v>LN00166</v>
      </c>
      <c r="B169" t="str">
        <f>'02_Loan_Portfolio'!E167</f>
        <v>B</v>
      </c>
      <c r="C169">
        <f>'02_Loan_Portfolio'!L167</f>
        <v>0</v>
      </c>
      <c r="D169">
        <f>'02_Loan_Portfolio'!J167</f>
        <v>1.7150000000000001</v>
      </c>
      <c r="E169">
        <f>'02_Loan_Portfolio'!K167</f>
        <v>5.9809999999999999</v>
      </c>
      <c r="F169" t="str">
        <f t="shared" si="4"/>
        <v>Red</v>
      </c>
      <c r="G169" t="str">
        <f t="shared" si="5"/>
        <v>High leverage</v>
      </c>
    </row>
    <row r="170" spans="1:7">
      <c r="A170" t="str">
        <f>'02_Loan_Portfolio'!A168</f>
        <v>LN00167</v>
      </c>
      <c r="B170" t="str">
        <f>'02_Loan_Portfolio'!E168</f>
        <v>B</v>
      </c>
      <c r="C170">
        <f>'02_Loan_Portfolio'!L168</f>
        <v>0</v>
      </c>
      <c r="D170">
        <f>'02_Loan_Portfolio'!J168</f>
        <v>1.4410000000000001</v>
      </c>
      <c r="E170">
        <f>'02_Loan_Portfolio'!K168</f>
        <v>2.63</v>
      </c>
      <c r="F170" t="str">
        <f t="shared" si="4"/>
        <v>Green</v>
      </c>
      <c r="G170" t="str">
        <f t="shared" si="5"/>
        <v>Normal</v>
      </c>
    </row>
    <row r="171" spans="1:7">
      <c r="A171" t="str">
        <f>'02_Loan_Portfolio'!A169</f>
        <v>LN00168</v>
      </c>
      <c r="B171" t="str">
        <f>'02_Loan_Portfolio'!E169</f>
        <v>BB</v>
      </c>
      <c r="C171">
        <f>'02_Loan_Portfolio'!L169</f>
        <v>0</v>
      </c>
      <c r="D171">
        <f>'02_Loan_Portfolio'!J169</f>
        <v>0.35699999999999998</v>
      </c>
      <c r="E171">
        <f>'02_Loan_Portfolio'!K169</f>
        <v>0.2</v>
      </c>
      <c r="F171" t="str">
        <f t="shared" si="4"/>
        <v>Red</v>
      </c>
      <c r="G171" t="str">
        <f t="shared" si="5"/>
        <v>DSCR weakness</v>
      </c>
    </row>
    <row r="172" spans="1:7">
      <c r="A172" t="str">
        <f>'02_Loan_Portfolio'!A170</f>
        <v>LN00169</v>
      </c>
      <c r="B172" t="str">
        <f>'02_Loan_Portfolio'!E170</f>
        <v>BBB</v>
      </c>
      <c r="C172">
        <f>'02_Loan_Portfolio'!L170</f>
        <v>0</v>
      </c>
      <c r="D172">
        <f>'02_Loan_Portfolio'!J170</f>
        <v>1.778</v>
      </c>
      <c r="E172">
        <f>'02_Loan_Portfolio'!K170</f>
        <v>2.621</v>
      </c>
      <c r="F172" t="str">
        <f t="shared" si="4"/>
        <v>Green</v>
      </c>
      <c r="G172" t="str">
        <f t="shared" si="5"/>
        <v>Normal</v>
      </c>
    </row>
    <row r="173" spans="1:7">
      <c r="A173" t="str">
        <f>'02_Loan_Portfolio'!A171</f>
        <v>LN00170</v>
      </c>
      <c r="B173" t="str">
        <f>'02_Loan_Portfolio'!E171</f>
        <v>BBB</v>
      </c>
      <c r="C173">
        <f>'02_Loan_Portfolio'!L171</f>
        <v>15</v>
      </c>
      <c r="D173">
        <f>'02_Loan_Portfolio'!J171</f>
        <v>1.869</v>
      </c>
      <c r="E173">
        <f>'02_Loan_Portfolio'!K171</f>
        <v>1.44</v>
      </c>
      <c r="F173" t="str">
        <f t="shared" si="4"/>
        <v>Amber</v>
      </c>
      <c r="G173" t="str">
        <f t="shared" si="5"/>
        <v>Normal</v>
      </c>
    </row>
    <row r="174" spans="1:7">
      <c r="A174" t="str">
        <f>'02_Loan_Portfolio'!A172</f>
        <v>LN00171</v>
      </c>
      <c r="B174" t="str">
        <f>'02_Loan_Portfolio'!E172</f>
        <v>BB</v>
      </c>
      <c r="C174">
        <f>'02_Loan_Portfolio'!L172</f>
        <v>0</v>
      </c>
      <c r="D174">
        <f>'02_Loan_Portfolio'!J172</f>
        <v>1.4590000000000001</v>
      </c>
      <c r="E174">
        <f>'02_Loan_Portfolio'!K172</f>
        <v>3.4529999999999998</v>
      </c>
      <c r="F174" t="str">
        <f t="shared" si="4"/>
        <v>Green</v>
      </c>
      <c r="G174" t="str">
        <f t="shared" si="5"/>
        <v>Normal</v>
      </c>
    </row>
    <row r="175" spans="1:7">
      <c r="A175" t="str">
        <f>'02_Loan_Portfolio'!A173</f>
        <v>LN00172</v>
      </c>
      <c r="B175" t="str">
        <f>'02_Loan_Portfolio'!E173</f>
        <v>B</v>
      </c>
      <c r="C175">
        <f>'02_Loan_Portfolio'!L173</f>
        <v>0</v>
      </c>
      <c r="D175">
        <f>'02_Loan_Portfolio'!J173</f>
        <v>1.952</v>
      </c>
      <c r="E175">
        <f>'02_Loan_Portfolio'!K173</f>
        <v>3.8620000000000001</v>
      </c>
      <c r="F175" t="str">
        <f t="shared" si="4"/>
        <v>Green</v>
      </c>
      <c r="G175" t="str">
        <f t="shared" si="5"/>
        <v>Normal</v>
      </c>
    </row>
    <row r="176" spans="1:7">
      <c r="A176" t="str">
        <f>'02_Loan_Portfolio'!A174</f>
        <v>LN00173</v>
      </c>
      <c r="B176" t="str">
        <f>'02_Loan_Portfolio'!E174</f>
        <v>BBB</v>
      </c>
      <c r="C176">
        <f>'02_Loan_Portfolio'!L174</f>
        <v>35</v>
      </c>
      <c r="D176">
        <f>'02_Loan_Portfolio'!J174</f>
        <v>1.5780000000000001</v>
      </c>
      <c r="E176">
        <f>'02_Loan_Portfolio'!K174</f>
        <v>5.59</v>
      </c>
      <c r="F176" t="str">
        <f t="shared" si="4"/>
        <v>Red</v>
      </c>
      <c r="G176" t="str">
        <f t="shared" si="5"/>
        <v>DPD deterioration</v>
      </c>
    </row>
    <row r="177" spans="1:7">
      <c r="A177" t="str">
        <f>'02_Loan_Portfolio'!A175</f>
        <v>LN00174</v>
      </c>
      <c r="B177" t="str">
        <f>'02_Loan_Portfolio'!E175</f>
        <v>BB</v>
      </c>
      <c r="C177">
        <f>'02_Loan_Portfolio'!L175</f>
        <v>5</v>
      </c>
      <c r="D177">
        <f>'02_Loan_Portfolio'!J175</f>
        <v>1.415</v>
      </c>
      <c r="E177">
        <f>'02_Loan_Portfolio'!K175</f>
        <v>2.6819999999999999</v>
      </c>
      <c r="F177" t="str">
        <f t="shared" si="4"/>
        <v>Amber</v>
      </c>
      <c r="G177" t="str">
        <f t="shared" si="5"/>
        <v>Normal</v>
      </c>
    </row>
    <row r="178" spans="1:7">
      <c r="A178" t="str">
        <f>'02_Loan_Portfolio'!A176</f>
        <v>LN00175</v>
      </c>
      <c r="B178" t="str">
        <f>'02_Loan_Portfolio'!E176</f>
        <v>BBB</v>
      </c>
      <c r="C178">
        <f>'02_Loan_Portfolio'!L176</f>
        <v>35</v>
      </c>
      <c r="D178">
        <f>'02_Loan_Portfolio'!J176</f>
        <v>1.018</v>
      </c>
      <c r="E178">
        <f>'02_Loan_Portfolio'!K176</f>
        <v>6.3230000000000004</v>
      </c>
      <c r="F178" t="str">
        <f t="shared" si="4"/>
        <v>Red</v>
      </c>
      <c r="G178" t="str">
        <f t="shared" si="5"/>
        <v>DPD deterioration</v>
      </c>
    </row>
    <row r="179" spans="1:7">
      <c r="A179" t="str">
        <f>'02_Loan_Portfolio'!A177</f>
        <v>LN00176</v>
      </c>
      <c r="B179" t="str">
        <f>'02_Loan_Portfolio'!E177</f>
        <v>A</v>
      </c>
      <c r="C179">
        <f>'02_Loan_Portfolio'!L177</f>
        <v>15</v>
      </c>
      <c r="D179">
        <f>'02_Loan_Portfolio'!J177</f>
        <v>2.5339999999999998</v>
      </c>
      <c r="E179">
        <f>'02_Loan_Portfolio'!K177</f>
        <v>5.2030000000000003</v>
      </c>
      <c r="F179" t="str">
        <f t="shared" si="4"/>
        <v>Red</v>
      </c>
      <c r="G179" t="str">
        <f t="shared" si="5"/>
        <v>High leverage</v>
      </c>
    </row>
    <row r="180" spans="1:7">
      <c r="A180" t="str">
        <f>'02_Loan_Portfolio'!A178</f>
        <v>LN00177</v>
      </c>
      <c r="B180" t="str">
        <f>'02_Loan_Portfolio'!E178</f>
        <v>A</v>
      </c>
      <c r="C180">
        <f>'02_Loan_Portfolio'!L178</f>
        <v>5</v>
      </c>
      <c r="D180">
        <f>'02_Loan_Portfolio'!J178</f>
        <v>1.5289999999999999</v>
      </c>
      <c r="E180">
        <f>'02_Loan_Portfolio'!K178</f>
        <v>2.7160000000000002</v>
      </c>
      <c r="F180" t="str">
        <f t="shared" si="4"/>
        <v>Amber</v>
      </c>
      <c r="G180" t="str">
        <f t="shared" si="5"/>
        <v>Normal</v>
      </c>
    </row>
    <row r="181" spans="1:7">
      <c r="A181" t="str">
        <f>'02_Loan_Portfolio'!A179</f>
        <v>LN00178</v>
      </c>
      <c r="B181" t="str">
        <f>'02_Loan_Portfolio'!E179</f>
        <v>BBB</v>
      </c>
      <c r="C181">
        <f>'02_Loan_Portfolio'!L179</f>
        <v>0</v>
      </c>
      <c r="D181">
        <f>'02_Loan_Portfolio'!J179</f>
        <v>1.7929999999999999</v>
      </c>
      <c r="E181">
        <f>'02_Loan_Portfolio'!K179</f>
        <v>3.137</v>
      </c>
      <c r="F181" t="str">
        <f t="shared" si="4"/>
        <v>Green</v>
      </c>
      <c r="G181" t="str">
        <f t="shared" si="5"/>
        <v>Normal</v>
      </c>
    </row>
    <row r="182" spans="1:7">
      <c r="A182" t="str">
        <f>'02_Loan_Portfolio'!A180</f>
        <v>LN00179</v>
      </c>
      <c r="B182" t="str">
        <f>'02_Loan_Portfolio'!E180</f>
        <v>A</v>
      </c>
      <c r="C182">
        <f>'02_Loan_Portfolio'!L180</f>
        <v>15</v>
      </c>
      <c r="D182">
        <f>'02_Loan_Portfolio'!J180</f>
        <v>2.33</v>
      </c>
      <c r="E182">
        <f>'02_Loan_Portfolio'!K180</f>
        <v>4.2679999999999998</v>
      </c>
      <c r="F182" t="str">
        <f t="shared" si="4"/>
        <v>Amber</v>
      </c>
      <c r="G182" t="str">
        <f t="shared" si="5"/>
        <v>Normal</v>
      </c>
    </row>
    <row r="183" spans="1:7">
      <c r="A183" t="str">
        <f>'02_Loan_Portfolio'!A181</f>
        <v>LN00180</v>
      </c>
      <c r="B183" t="str">
        <f>'02_Loan_Portfolio'!E181</f>
        <v>BB</v>
      </c>
      <c r="C183">
        <f>'02_Loan_Portfolio'!L181</f>
        <v>0</v>
      </c>
      <c r="D183">
        <f>'02_Loan_Portfolio'!J181</f>
        <v>2.0099999999999998</v>
      </c>
      <c r="E183">
        <f>'02_Loan_Portfolio'!K181</f>
        <v>5.4630000000000001</v>
      </c>
      <c r="F183" t="str">
        <f t="shared" si="4"/>
        <v>Red</v>
      </c>
      <c r="G183" t="str">
        <f t="shared" si="5"/>
        <v>High leverage</v>
      </c>
    </row>
    <row r="184" spans="1:7">
      <c r="A184" t="str">
        <f>'02_Loan_Portfolio'!A182</f>
        <v>LN00181</v>
      </c>
      <c r="B184" t="str">
        <f>'02_Loan_Portfolio'!E182</f>
        <v>A</v>
      </c>
      <c r="C184">
        <f>'02_Loan_Portfolio'!L182</f>
        <v>65</v>
      </c>
      <c r="D184">
        <f>'02_Loan_Portfolio'!J182</f>
        <v>2.5910000000000002</v>
      </c>
      <c r="E184">
        <f>'02_Loan_Portfolio'!K182</f>
        <v>3.222</v>
      </c>
      <c r="F184" t="str">
        <f t="shared" si="4"/>
        <v>Red</v>
      </c>
      <c r="G184" t="str">
        <f t="shared" si="5"/>
        <v>DPD deterioration</v>
      </c>
    </row>
    <row r="185" spans="1:7">
      <c r="A185" t="str">
        <f>'02_Loan_Portfolio'!A183</f>
        <v>LN00182</v>
      </c>
      <c r="B185" t="str">
        <f>'02_Loan_Portfolio'!E183</f>
        <v>BB</v>
      </c>
      <c r="C185">
        <f>'02_Loan_Portfolio'!L183</f>
        <v>0</v>
      </c>
      <c r="D185">
        <f>'02_Loan_Portfolio'!J183</f>
        <v>2.0059999999999998</v>
      </c>
      <c r="E185">
        <f>'02_Loan_Portfolio'!K183</f>
        <v>0.76800000000000002</v>
      </c>
      <c r="F185" t="str">
        <f t="shared" si="4"/>
        <v>Green</v>
      </c>
      <c r="G185" t="str">
        <f t="shared" si="5"/>
        <v>Normal</v>
      </c>
    </row>
    <row r="186" spans="1:7">
      <c r="A186" t="str">
        <f>'02_Loan_Portfolio'!A184</f>
        <v>LN00183</v>
      </c>
      <c r="B186" t="str">
        <f>'02_Loan_Portfolio'!E184</f>
        <v>CCC</v>
      </c>
      <c r="C186">
        <f>'02_Loan_Portfolio'!L184</f>
        <v>0</v>
      </c>
      <c r="D186">
        <f>'02_Loan_Portfolio'!J184</f>
        <v>0.94899999999999995</v>
      </c>
      <c r="E186">
        <f>'02_Loan_Portfolio'!K184</f>
        <v>5.5039999999999996</v>
      </c>
      <c r="F186" t="str">
        <f t="shared" si="4"/>
        <v>Red</v>
      </c>
      <c r="G186" t="str">
        <f t="shared" si="5"/>
        <v>DSCR weakness</v>
      </c>
    </row>
    <row r="187" spans="1:7">
      <c r="A187" t="str">
        <f>'02_Loan_Portfolio'!A185</f>
        <v>LN00184</v>
      </c>
      <c r="B187" t="str">
        <f>'02_Loan_Portfolio'!E185</f>
        <v>BBB</v>
      </c>
      <c r="C187">
        <f>'02_Loan_Portfolio'!L185</f>
        <v>0</v>
      </c>
      <c r="D187">
        <f>'02_Loan_Portfolio'!J185</f>
        <v>1.3660000000000001</v>
      </c>
      <c r="E187">
        <f>'02_Loan_Portfolio'!K185</f>
        <v>1.8560000000000001</v>
      </c>
      <c r="F187" t="str">
        <f t="shared" si="4"/>
        <v>Green</v>
      </c>
      <c r="G187" t="str">
        <f t="shared" si="5"/>
        <v>Normal</v>
      </c>
    </row>
    <row r="188" spans="1:7">
      <c r="A188" t="str">
        <f>'02_Loan_Portfolio'!A186</f>
        <v>LN00185</v>
      </c>
      <c r="B188" t="str">
        <f>'02_Loan_Portfolio'!E186</f>
        <v>BBB</v>
      </c>
      <c r="C188">
        <f>'02_Loan_Portfolio'!L186</f>
        <v>0</v>
      </c>
      <c r="D188">
        <f>'02_Loan_Portfolio'!J186</f>
        <v>2.3479999999999999</v>
      </c>
      <c r="E188">
        <f>'02_Loan_Portfolio'!K186</f>
        <v>4.1900000000000004</v>
      </c>
      <c r="F188" t="str">
        <f t="shared" si="4"/>
        <v>Amber</v>
      </c>
      <c r="G188" t="str">
        <f t="shared" si="5"/>
        <v>Normal</v>
      </c>
    </row>
    <row r="189" spans="1:7">
      <c r="A189" t="str">
        <f>'02_Loan_Portfolio'!A187</f>
        <v>LN00186</v>
      </c>
      <c r="B189" t="str">
        <f>'02_Loan_Portfolio'!E187</f>
        <v>AAA</v>
      </c>
      <c r="C189">
        <f>'02_Loan_Portfolio'!L187</f>
        <v>0</v>
      </c>
      <c r="D189">
        <f>'02_Loan_Portfolio'!J187</f>
        <v>0.84899999999999998</v>
      </c>
      <c r="E189">
        <f>'02_Loan_Portfolio'!K187</f>
        <v>2.847</v>
      </c>
      <c r="F189" t="str">
        <f t="shared" si="4"/>
        <v>Red</v>
      </c>
      <c r="G189" t="str">
        <f t="shared" si="5"/>
        <v>DSCR weakness</v>
      </c>
    </row>
    <row r="190" spans="1:7">
      <c r="A190" t="str">
        <f>'02_Loan_Portfolio'!A188</f>
        <v>LN00187</v>
      </c>
      <c r="B190" t="str">
        <f>'02_Loan_Portfolio'!E188</f>
        <v>B</v>
      </c>
      <c r="C190">
        <f>'02_Loan_Portfolio'!L188</f>
        <v>0</v>
      </c>
      <c r="D190">
        <f>'02_Loan_Portfolio'!J188</f>
        <v>1.099</v>
      </c>
      <c r="E190">
        <f>'02_Loan_Portfolio'!K188</f>
        <v>4.5659999999999998</v>
      </c>
      <c r="F190" t="str">
        <f t="shared" si="4"/>
        <v>Red</v>
      </c>
      <c r="G190" t="str">
        <f t="shared" si="5"/>
        <v>DSCR weakness</v>
      </c>
    </row>
    <row r="191" spans="1:7">
      <c r="A191" t="str">
        <f>'02_Loan_Portfolio'!A189</f>
        <v>LN00188</v>
      </c>
      <c r="B191" t="str">
        <f>'02_Loan_Portfolio'!E189</f>
        <v>BB</v>
      </c>
      <c r="C191">
        <f>'02_Loan_Portfolio'!L189</f>
        <v>0</v>
      </c>
      <c r="D191">
        <f>'02_Loan_Portfolio'!J189</f>
        <v>2.0680000000000001</v>
      </c>
      <c r="E191">
        <f>'02_Loan_Portfolio'!K189</f>
        <v>2.4049999999999998</v>
      </c>
      <c r="F191" t="str">
        <f t="shared" si="4"/>
        <v>Green</v>
      </c>
      <c r="G191" t="str">
        <f t="shared" si="5"/>
        <v>Normal</v>
      </c>
    </row>
    <row r="192" spans="1:7">
      <c r="A192" t="str">
        <f>'02_Loan_Portfolio'!A190</f>
        <v>LN00189</v>
      </c>
      <c r="B192" t="str">
        <f>'02_Loan_Portfolio'!E190</f>
        <v>B</v>
      </c>
      <c r="C192">
        <f>'02_Loan_Portfolio'!L190</f>
        <v>0</v>
      </c>
      <c r="D192">
        <f>'02_Loan_Portfolio'!J190</f>
        <v>2.7309999999999999</v>
      </c>
      <c r="E192">
        <f>'02_Loan_Portfolio'!K190</f>
        <v>2.5640000000000001</v>
      </c>
      <c r="F192" t="str">
        <f t="shared" si="4"/>
        <v>Green</v>
      </c>
      <c r="G192" t="str">
        <f t="shared" si="5"/>
        <v>Normal</v>
      </c>
    </row>
    <row r="193" spans="1:7">
      <c r="A193" t="str">
        <f>'02_Loan_Portfolio'!A191</f>
        <v>LN00190</v>
      </c>
      <c r="B193" t="str">
        <f>'02_Loan_Portfolio'!E191</f>
        <v>B</v>
      </c>
      <c r="C193">
        <f>'02_Loan_Portfolio'!L191</f>
        <v>5</v>
      </c>
      <c r="D193">
        <f>'02_Loan_Portfolio'!J191</f>
        <v>1.292</v>
      </c>
      <c r="E193">
        <f>'02_Loan_Portfolio'!K191</f>
        <v>3.5609999999999999</v>
      </c>
      <c r="F193" t="str">
        <f t="shared" si="4"/>
        <v>Amber</v>
      </c>
      <c r="G193" t="str">
        <f t="shared" si="5"/>
        <v>Normal</v>
      </c>
    </row>
    <row r="194" spans="1:7">
      <c r="A194" t="str">
        <f>'02_Loan_Portfolio'!A192</f>
        <v>LN00191</v>
      </c>
      <c r="B194" t="str">
        <f>'02_Loan_Portfolio'!E192</f>
        <v>B</v>
      </c>
      <c r="C194">
        <f>'02_Loan_Portfolio'!L192</f>
        <v>0</v>
      </c>
      <c r="D194">
        <f>'02_Loan_Portfolio'!J192</f>
        <v>2.0150000000000001</v>
      </c>
      <c r="E194">
        <f>'02_Loan_Portfolio'!K192</f>
        <v>1.675</v>
      </c>
      <c r="F194" t="str">
        <f t="shared" si="4"/>
        <v>Green</v>
      </c>
      <c r="G194" t="str">
        <f t="shared" si="5"/>
        <v>Normal</v>
      </c>
    </row>
    <row r="195" spans="1:7">
      <c r="A195" t="str">
        <f>'02_Loan_Portfolio'!A193</f>
        <v>LN00192</v>
      </c>
      <c r="B195" t="str">
        <f>'02_Loan_Portfolio'!E193</f>
        <v>A</v>
      </c>
      <c r="C195">
        <f>'02_Loan_Portfolio'!L193</f>
        <v>5</v>
      </c>
      <c r="D195">
        <f>'02_Loan_Portfolio'!J193</f>
        <v>2.8340000000000001</v>
      </c>
      <c r="E195">
        <f>'02_Loan_Portfolio'!K193</f>
        <v>4.9420000000000002</v>
      </c>
      <c r="F195" t="str">
        <f t="shared" si="4"/>
        <v>Amber</v>
      </c>
      <c r="G195" t="str">
        <f t="shared" si="5"/>
        <v>Normal</v>
      </c>
    </row>
    <row r="196" spans="1:7">
      <c r="A196" t="str">
        <f>'02_Loan_Portfolio'!A194</f>
        <v>LN00193</v>
      </c>
      <c r="B196" t="str">
        <f>'02_Loan_Portfolio'!E194</f>
        <v>A</v>
      </c>
      <c r="C196">
        <f>'02_Loan_Portfolio'!L194</f>
        <v>0</v>
      </c>
      <c r="D196">
        <f>'02_Loan_Portfolio'!J194</f>
        <v>2.109</v>
      </c>
      <c r="E196">
        <f>'02_Loan_Portfolio'!K194</f>
        <v>3.992</v>
      </c>
      <c r="F196" t="str">
        <f t="shared" ref="F196:F253" si="6">IF(OR(C196&gt;=30,D196&lt;1.1,E196&gt;5),"Red",IF(OR(C196&gt;0,D196&lt;1.3,E196&gt;4),"Amber","Green"))</f>
        <v>Green</v>
      </c>
      <c r="G196" t="str">
        <f t="shared" ref="G196:G253" si="7">IF(C196&gt;=30,"DPD deterioration",IF(D196&lt;1.1,"DSCR weakness",IF(E196&gt;5,"High leverage","Normal")))</f>
        <v>Normal</v>
      </c>
    </row>
    <row r="197" spans="1:7">
      <c r="A197" t="str">
        <f>'02_Loan_Portfolio'!A195</f>
        <v>LN00194</v>
      </c>
      <c r="B197" t="str">
        <f>'02_Loan_Portfolio'!E195</f>
        <v>BBB</v>
      </c>
      <c r="C197">
        <f>'02_Loan_Portfolio'!L195</f>
        <v>95</v>
      </c>
      <c r="D197">
        <f>'02_Loan_Portfolio'!J195</f>
        <v>2.1160000000000001</v>
      </c>
      <c r="E197">
        <f>'02_Loan_Portfolio'!K195</f>
        <v>4.5469999999999997</v>
      </c>
      <c r="F197" t="str">
        <f t="shared" si="6"/>
        <v>Red</v>
      </c>
      <c r="G197" t="str">
        <f t="shared" si="7"/>
        <v>DPD deterioration</v>
      </c>
    </row>
    <row r="198" spans="1:7">
      <c r="A198" t="str">
        <f>'02_Loan_Portfolio'!A196</f>
        <v>LN00195</v>
      </c>
      <c r="B198" t="str">
        <f>'02_Loan_Portfolio'!E196</f>
        <v>BBB</v>
      </c>
      <c r="C198">
        <f>'02_Loan_Portfolio'!L196</f>
        <v>0</v>
      </c>
      <c r="D198">
        <f>'02_Loan_Portfolio'!J196</f>
        <v>1.651</v>
      </c>
      <c r="E198">
        <f>'02_Loan_Portfolio'!K196</f>
        <v>3.8410000000000002</v>
      </c>
      <c r="F198" t="str">
        <f t="shared" si="6"/>
        <v>Green</v>
      </c>
      <c r="G198" t="str">
        <f t="shared" si="7"/>
        <v>Normal</v>
      </c>
    </row>
    <row r="199" spans="1:7">
      <c r="A199" t="str">
        <f>'02_Loan_Portfolio'!A197</f>
        <v>LN00196</v>
      </c>
      <c r="B199" t="str">
        <f>'02_Loan_Portfolio'!E197</f>
        <v>CCC</v>
      </c>
      <c r="C199">
        <f>'02_Loan_Portfolio'!L197</f>
        <v>0</v>
      </c>
      <c r="D199">
        <f>'02_Loan_Portfolio'!J197</f>
        <v>1.8009999999999999</v>
      </c>
      <c r="E199">
        <f>'02_Loan_Portfolio'!K197</f>
        <v>4.7590000000000003</v>
      </c>
      <c r="F199" t="str">
        <f t="shared" si="6"/>
        <v>Amber</v>
      </c>
      <c r="G199" t="str">
        <f t="shared" si="7"/>
        <v>Normal</v>
      </c>
    </row>
    <row r="200" spans="1:7">
      <c r="A200" t="str">
        <f>'02_Loan_Portfolio'!A198</f>
        <v>LN00197</v>
      </c>
      <c r="B200" t="str">
        <f>'02_Loan_Portfolio'!E198</f>
        <v>B</v>
      </c>
      <c r="C200">
        <f>'02_Loan_Portfolio'!L198</f>
        <v>0</v>
      </c>
      <c r="D200">
        <f>'02_Loan_Portfolio'!J198</f>
        <v>2.8050000000000002</v>
      </c>
      <c r="E200">
        <f>'02_Loan_Portfolio'!K198</f>
        <v>3.706</v>
      </c>
      <c r="F200" t="str">
        <f t="shared" si="6"/>
        <v>Green</v>
      </c>
      <c r="G200" t="str">
        <f t="shared" si="7"/>
        <v>Normal</v>
      </c>
    </row>
    <row r="201" spans="1:7">
      <c r="A201" t="str">
        <f>'02_Loan_Portfolio'!A199</f>
        <v>LN00198</v>
      </c>
      <c r="B201" t="str">
        <f>'02_Loan_Portfolio'!E199</f>
        <v>AA</v>
      </c>
      <c r="C201">
        <f>'02_Loan_Portfolio'!L199</f>
        <v>0</v>
      </c>
      <c r="D201">
        <f>'02_Loan_Portfolio'!J199</f>
        <v>1.694</v>
      </c>
      <c r="E201">
        <f>'02_Loan_Portfolio'!K199</f>
        <v>3.41</v>
      </c>
      <c r="F201" t="str">
        <f t="shared" si="6"/>
        <v>Green</v>
      </c>
      <c r="G201" t="str">
        <f t="shared" si="7"/>
        <v>Normal</v>
      </c>
    </row>
    <row r="202" spans="1:7">
      <c r="A202" t="str">
        <f>'02_Loan_Portfolio'!A200</f>
        <v>LN00199</v>
      </c>
      <c r="B202" t="str">
        <f>'02_Loan_Portfolio'!E200</f>
        <v>BB</v>
      </c>
      <c r="C202">
        <f>'02_Loan_Portfolio'!L200</f>
        <v>0</v>
      </c>
      <c r="D202">
        <f>'02_Loan_Portfolio'!J200</f>
        <v>1.7390000000000001</v>
      </c>
      <c r="E202">
        <f>'02_Loan_Portfolio'!K200</f>
        <v>3.0590000000000002</v>
      </c>
      <c r="F202" t="str">
        <f t="shared" si="6"/>
        <v>Green</v>
      </c>
      <c r="G202" t="str">
        <f t="shared" si="7"/>
        <v>Normal</v>
      </c>
    </row>
    <row r="203" spans="1:7">
      <c r="A203" t="str">
        <f>'02_Loan_Portfolio'!A201</f>
        <v>LN00200</v>
      </c>
      <c r="B203" t="str">
        <f>'02_Loan_Portfolio'!E201</f>
        <v>B</v>
      </c>
      <c r="C203">
        <f>'02_Loan_Portfolio'!L201</f>
        <v>0</v>
      </c>
      <c r="D203">
        <f>'02_Loan_Portfolio'!J201</f>
        <v>1.2549999999999999</v>
      </c>
      <c r="E203">
        <f>'02_Loan_Portfolio'!K201</f>
        <v>3.1789999999999998</v>
      </c>
      <c r="F203" t="str">
        <f t="shared" si="6"/>
        <v>Amber</v>
      </c>
      <c r="G203" t="str">
        <f t="shared" si="7"/>
        <v>Normal</v>
      </c>
    </row>
    <row r="204" spans="1:7">
      <c r="A204" t="str">
        <f>'02_Loan_Portfolio'!A202</f>
        <v>LN00201</v>
      </c>
      <c r="B204" t="str">
        <f>'02_Loan_Portfolio'!E202</f>
        <v>CCC</v>
      </c>
      <c r="C204">
        <f>'02_Loan_Portfolio'!L202</f>
        <v>130</v>
      </c>
      <c r="D204">
        <f>'02_Loan_Portfolio'!J202</f>
        <v>2.2730000000000001</v>
      </c>
      <c r="E204">
        <f>'02_Loan_Portfolio'!K202</f>
        <v>2.9329999999999998</v>
      </c>
      <c r="F204" t="str">
        <f t="shared" si="6"/>
        <v>Red</v>
      </c>
      <c r="G204" t="str">
        <f t="shared" si="7"/>
        <v>DPD deterioration</v>
      </c>
    </row>
    <row r="205" spans="1:7">
      <c r="A205" t="str">
        <f>'02_Loan_Portfolio'!A203</f>
        <v>LN00202</v>
      </c>
      <c r="B205" t="str">
        <f>'02_Loan_Portfolio'!E203</f>
        <v>CCC</v>
      </c>
      <c r="C205">
        <f>'02_Loan_Portfolio'!L203</f>
        <v>65</v>
      </c>
      <c r="D205">
        <f>'02_Loan_Portfolio'!J203</f>
        <v>1.4059999999999999</v>
      </c>
      <c r="E205">
        <f>'02_Loan_Portfolio'!K203</f>
        <v>0.26500000000000001</v>
      </c>
      <c r="F205" t="str">
        <f t="shared" si="6"/>
        <v>Red</v>
      </c>
      <c r="G205" t="str">
        <f t="shared" si="7"/>
        <v>DPD deterioration</v>
      </c>
    </row>
    <row r="206" spans="1:7">
      <c r="A206" t="str">
        <f>'02_Loan_Portfolio'!A204</f>
        <v>LN00203</v>
      </c>
      <c r="B206" t="str">
        <f>'02_Loan_Portfolio'!E204</f>
        <v>CCC</v>
      </c>
      <c r="C206">
        <f>'02_Loan_Portfolio'!L204</f>
        <v>15</v>
      </c>
      <c r="D206">
        <f>'02_Loan_Portfolio'!J204</f>
        <v>2.0579999999999998</v>
      </c>
      <c r="E206">
        <f>'02_Loan_Portfolio'!K204</f>
        <v>4.7839999999999998</v>
      </c>
      <c r="F206" t="str">
        <f t="shared" si="6"/>
        <v>Amber</v>
      </c>
      <c r="G206" t="str">
        <f t="shared" si="7"/>
        <v>Normal</v>
      </c>
    </row>
    <row r="207" spans="1:7">
      <c r="A207" t="str">
        <f>'02_Loan_Portfolio'!A205</f>
        <v>LN00204</v>
      </c>
      <c r="B207" t="str">
        <f>'02_Loan_Portfolio'!E205</f>
        <v>AA</v>
      </c>
      <c r="C207">
        <f>'02_Loan_Portfolio'!L205</f>
        <v>0</v>
      </c>
      <c r="D207">
        <f>'02_Loan_Portfolio'!J205</f>
        <v>2.6960000000000002</v>
      </c>
      <c r="E207">
        <f>'02_Loan_Portfolio'!K205</f>
        <v>0.46700000000000003</v>
      </c>
      <c r="F207" t="str">
        <f t="shared" si="6"/>
        <v>Green</v>
      </c>
      <c r="G207" t="str">
        <f t="shared" si="7"/>
        <v>Normal</v>
      </c>
    </row>
    <row r="208" spans="1:7">
      <c r="A208" t="str">
        <f>'02_Loan_Portfolio'!A206</f>
        <v>LN00205</v>
      </c>
      <c r="B208" t="str">
        <f>'02_Loan_Portfolio'!E206</f>
        <v>BB</v>
      </c>
      <c r="C208">
        <f>'02_Loan_Portfolio'!L206</f>
        <v>15</v>
      </c>
      <c r="D208">
        <f>'02_Loan_Portfolio'!J206</f>
        <v>1.119</v>
      </c>
      <c r="E208">
        <f>'02_Loan_Portfolio'!K206</f>
        <v>4.6849999999999996</v>
      </c>
      <c r="F208" t="str">
        <f t="shared" si="6"/>
        <v>Amber</v>
      </c>
      <c r="G208" t="str">
        <f t="shared" si="7"/>
        <v>Normal</v>
      </c>
    </row>
    <row r="209" spans="1:7">
      <c r="A209" t="str">
        <f>'02_Loan_Portfolio'!A207</f>
        <v>LN00206</v>
      </c>
      <c r="B209" t="str">
        <f>'02_Loan_Portfolio'!E207</f>
        <v>A</v>
      </c>
      <c r="C209">
        <f>'02_Loan_Portfolio'!L207</f>
        <v>15</v>
      </c>
      <c r="D209">
        <f>'02_Loan_Portfolio'!J207</f>
        <v>1.893</v>
      </c>
      <c r="E209">
        <f>'02_Loan_Portfolio'!K207</f>
        <v>1.403</v>
      </c>
      <c r="F209" t="str">
        <f t="shared" si="6"/>
        <v>Amber</v>
      </c>
      <c r="G209" t="str">
        <f t="shared" si="7"/>
        <v>Normal</v>
      </c>
    </row>
    <row r="210" spans="1:7">
      <c r="A210" t="str">
        <f>'02_Loan_Portfolio'!A208</f>
        <v>LN00207</v>
      </c>
      <c r="B210" t="str">
        <f>'02_Loan_Portfolio'!E208</f>
        <v>A</v>
      </c>
      <c r="C210">
        <f>'02_Loan_Portfolio'!L208</f>
        <v>0</v>
      </c>
      <c r="D210">
        <f>'02_Loan_Portfolio'!J208</f>
        <v>1.5649999999999999</v>
      </c>
      <c r="E210">
        <f>'02_Loan_Portfolio'!K208</f>
        <v>2.11</v>
      </c>
      <c r="F210" t="str">
        <f t="shared" si="6"/>
        <v>Green</v>
      </c>
      <c r="G210" t="str">
        <f t="shared" si="7"/>
        <v>Normal</v>
      </c>
    </row>
    <row r="211" spans="1:7">
      <c r="A211" t="str">
        <f>'02_Loan_Portfolio'!A209</f>
        <v>LN00208</v>
      </c>
      <c r="B211" t="str">
        <f>'02_Loan_Portfolio'!E209</f>
        <v>AAA</v>
      </c>
      <c r="C211">
        <f>'02_Loan_Portfolio'!L209</f>
        <v>0</v>
      </c>
      <c r="D211">
        <f>'02_Loan_Portfolio'!J209</f>
        <v>1.264</v>
      </c>
      <c r="E211">
        <f>'02_Loan_Portfolio'!K209</f>
        <v>3.2589999999999999</v>
      </c>
      <c r="F211" t="str">
        <f t="shared" si="6"/>
        <v>Amber</v>
      </c>
      <c r="G211" t="str">
        <f t="shared" si="7"/>
        <v>Normal</v>
      </c>
    </row>
    <row r="212" spans="1:7">
      <c r="A212" t="str">
        <f>'02_Loan_Portfolio'!A210</f>
        <v>LN00209</v>
      </c>
      <c r="B212" t="str">
        <f>'02_Loan_Portfolio'!E210</f>
        <v>BBB</v>
      </c>
      <c r="C212">
        <f>'02_Loan_Portfolio'!L210</f>
        <v>0</v>
      </c>
      <c r="D212">
        <f>'02_Loan_Portfolio'!J210</f>
        <v>1.9510000000000001</v>
      </c>
      <c r="E212">
        <f>'02_Loan_Portfolio'!K210</f>
        <v>1.589</v>
      </c>
      <c r="F212" t="str">
        <f t="shared" si="6"/>
        <v>Green</v>
      </c>
      <c r="G212" t="str">
        <f t="shared" si="7"/>
        <v>Normal</v>
      </c>
    </row>
    <row r="213" spans="1:7">
      <c r="A213" t="str">
        <f>'02_Loan_Portfolio'!A211</f>
        <v>LN00210</v>
      </c>
      <c r="B213" t="str">
        <f>'02_Loan_Portfolio'!E211</f>
        <v>AA</v>
      </c>
      <c r="C213">
        <f>'02_Loan_Portfolio'!L211</f>
        <v>65</v>
      </c>
      <c r="D213">
        <f>'02_Loan_Portfolio'!J211</f>
        <v>1.0740000000000001</v>
      </c>
      <c r="E213">
        <f>'02_Loan_Portfolio'!K211</f>
        <v>6.5090000000000003</v>
      </c>
      <c r="F213" t="str">
        <f t="shared" si="6"/>
        <v>Red</v>
      </c>
      <c r="G213" t="str">
        <f t="shared" si="7"/>
        <v>DPD deterioration</v>
      </c>
    </row>
    <row r="214" spans="1:7">
      <c r="A214" t="str">
        <f>'02_Loan_Portfolio'!A212</f>
        <v>LN00211</v>
      </c>
      <c r="B214" t="str">
        <f>'02_Loan_Portfolio'!E212</f>
        <v>A</v>
      </c>
      <c r="C214">
        <f>'02_Loan_Portfolio'!L212</f>
        <v>0</v>
      </c>
      <c r="D214">
        <f>'02_Loan_Portfolio'!J212</f>
        <v>1.806</v>
      </c>
      <c r="E214">
        <f>'02_Loan_Portfolio'!K212</f>
        <v>4.0780000000000003</v>
      </c>
      <c r="F214" t="str">
        <f t="shared" si="6"/>
        <v>Amber</v>
      </c>
      <c r="G214" t="str">
        <f t="shared" si="7"/>
        <v>Normal</v>
      </c>
    </row>
    <row r="215" spans="1:7">
      <c r="A215" t="str">
        <f>'02_Loan_Portfolio'!A213</f>
        <v>LN00212</v>
      </c>
      <c r="B215" t="str">
        <f>'02_Loan_Portfolio'!E213</f>
        <v>A</v>
      </c>
      <c r="C215">
        <f>'02_Loan_Portfolio'!L213</f>
        <v>0</v>
      </c>
      <c r="D215">
        <f>'02_Loan_Portfolio'!J213</f>
        <v>1.462</v>
      </c>
      <c r="E215">
        <f>'02_Loan_Portfolio'!K213</f>
        <v>2.9550000000000001</v>
      </c>
      <c r="F215" t="str">
        <f t="shared" si="6"/>
        <v>Green</v>
      </c>
      <c r="G215" t="str">
        <f t="shared" si="7"/>
        <v>Normal</v>
      </c>
    </row>
    <row r="216" spans="1:7">
      <c r="A216" t="str">
        <f>'02_Loan_Portfolio'!A214</f>
        <v>LN00213</v>
      </c>
      <c r="B216" t="str">
        <f>'02_Loan_Portfolio'!E214</f>
        <v>BBB</v>
      </c>
      <c r="C216">
        <f>'02_Loan_Portfolio'!L214</f>
        <v>0</v>
      </c>
      <c r="D216">
        <f>'02_Loan_Portfolio'!J214</f>
        <v>0.93</v>
      </c>
      <c r="E216">
        <f>'02_Loan_Portfolio'!K214</f>
        <v>1.1819999999999999</v>
      </c>
      <c r="F216" t="str">
        <f t="shared" si="6"/>
        <v>Red</v>
      </c>
      <c r="G216" t="str">
        <f t="shared" si="7"/>
        <v>DSCR weakness</v>
      </c>
    </row>
    <row r="217" spans="1:7">
      <c r="A217" t="str">
        <f>'02_Loan_Portfolio'!A215</f>
        <v>LN00214</v>
      </c>
      <c r="B217" t="str">
        <f>'02_Loan_Portfolio'!E215</f>
        <v>B</v>
      </c>
      <c r="C217">
        <f>'02_Loan_Portfolio'!L215</f>
        <v>0</v>
      </c>
      <c r="D217">
        <f>'02_Loan_Portfolio'!J215</f>
        <v>1.202</v>
      </c>
      <c r="E217">
        <f>'02_Loan_Portfolio'!K215</f>
        <v>2.4689999999999999</v>
      </c>
      <c r="F217" t="str">
        <f t="shared" si="6"/>
        <v>Amber</v>
      </c>
      <c r="G217" t="str">
        <f t="shared" si="7"/>
        <v>Normal</v>
      </c>
    </row>
    <row r="218" spans="1:7">
      <c r="A218" t="str">
        <f>'02_Loan_Portfolio'!A216</f>
        <v>LN00215</v>
      </c>
      <c r="B218" t="str">
        <f>'02_Loan_Portfolio'!E216</f>
        <v>B</v>
      </c>
      <c r="C218">
        <f>'02_Loan_Portfolio'!L216</f>
        <v>0</v>
      </c>
      <c r="D218">
        <f>'02_Loan_Portfolio'!J216</f>
        <v>1.7869999999999999</v>
      </c>
      <c r="E218">
        <f>'02_Loan_Portfolio'!K216</f>
        <v>3.7450000000000001</v>
      </c>
      <c r="F218" t="str">
        <f t="shared" si="6"/>
        <v>Green</v>
      </c>
      <c r="G218" t="str">
        <f t="shared" si="7"/>
        <v>Normal</v>
      </c>
    </row>
    <row r="219" spans="1:7">
      <c r="A219" t="str">
        <f>'02_Loan_Portfolio'!A217</f>
        <v>LN00216</v>
      </c>
      <c r="B219" t="str">
        <f>'02_Loan_Portfolio'!E217</f>
        <v>BBB</v>
      </c>
      <c r="C219">
        <f>'02_Loan_Portfolio'!L217</f>
        <v>0</v>
      </c>
      <c r="D219">
        <f>'02_Loan_Portfolio'!J217</f>
        <v>1.232</v>
      </c>
      <c r="E219">
        <f>'02_Loan_Portfolio'!K217</f>
        <v>2.9940000000000002</v>
      </c>
      <c r="F219" t="str">
        <f t="shared" si="6"/>
        <v>Amber</v>
      </c>
      <c r="G219" t="str">
        <f t="shared" si="7"/>
        <v>Normal</v>
      </c>
    </row>
    <row r="220" spans="1:7">
      <c r="A220" t="str">
        <f>'02_Loan_Portfolio'!A218</f>
        <v>LN00217</v>
      </c>
      <c r="B220" t="str">
        <f>'02_Loan_Portfolio'!E218</f>
        <v>B</v>
      </c>
      <c r="C220">
        <f>'02_Loan_Portfolio'!L218</f>
        <v>5</v>
      </c>
      <c r="D220">
        <f>'02_Loan_Portfolio'!J218</f>
        <v>1.208</v>
      </c>
      <c r="E220">
        <f>'02_Loan_Portfolio'!K218</f>
        <v>2.3519999999999999</v>
      </c>
      <c r="F220" t="str">
        <f t="shared" si="6"/>
        <v>Amber</v>
      </c>
      <c r="G220" t="str">
        <f t="shared" si="7"/>
        <v>Normal</v>
      </c>
    </row>
    <row r="221" spans="1:7">
      <c r="A221" t="str">
        <f>'02_Loan_Portfolio'!A219</f>
        <v>LN00218</v>
      </c>
      <c r="B221" t="str">
        <f>'02_Loan_Portfolio'!E219</f>
        <v>BBB</v>
      </c>
      <c r="C221">
        <f>'02_Loan_Portfolio'!L219</f>
        <v>5</v>
      </c>
      <c r="D221">
        <f>'02_Loan_Portfolio'!J219</f>
        <v>1.929</v>
      </c>
      <c r="E221">
        <f>'02_Loan_Portfolio'!K219</f>
        <v>2.0369999999999999</v>
      </c>
      <c r="F221" t="str">
        <f t="shared" si="6"/>
        <v>Amber</v>
      </c>
      <c r="G221" t="str">
        <f t="shared" si="7"/>
        <v>Normal</v>
      </c>
    </row>
    <row r="222" spans="1:7">
      <c r="A222" t="str">
        <f>'02_Loan_Portfolio'!A220</f>
        <v>LN00219</v>
      </c>
      <c r="B222" t="str">
        <f>'02_Loan_Portfolio'!E220</f>
        <v>BBB</v>
      </c>
      <c r="C222">
        <f>'02_Loan_Portfolio'!L220</f>
        <v>15</v>
      </c>
      <c r="D222">
        <f>'02_Loan_Portfolio'!J220</f>
        <v>2.1509999999999998</v>
      </c>
      <c r="E222">
        <f>'02_Loan_Portfolio'!K220</f>
        <v>4.2309999999999999</v>
      </c>
      <c r="F222" t="str">
        <f t="shared" si="6"/>
        <v>Amber</v>
      </c>
      <c r="G222" t="str">
        <f t="shared" si="7"/>
        <v>Normal</v>
      </c>
    </row>
    <row r="223" spans="1:7">
      <c r="A223" t="str">
        <f>'02_Loan_Portfolio'!A221</f>
        <v>LN00220</v>
      </c>
      <c r="B223" t="str">
        <f>'02_Loan_Portfolio'!E221</f>
        <v>BB</v>
      </c>
      <c r="C223">
        <f>'02_Loan_Portfolio'!L221</f>
        <v>0</v>
      </c>
      <c r="D223">
        <f>'02_Loan_Portfolio'!J221</f>
        <v>2.1659999999999999</v>
      </c>
      <c r="E223">
        <f>'02_Loan_Portfolio'!K221</f>
        <v>5.6790000000000003</v>
      </c>
      <c r="F223" t="str">
        <f t="shared" si="6"/>
        <v>Red</v>
      </c>
      <c r="G223" t="str">
        <f t="shared" si="7"/>
        <v>High leverage</v>
      </c>
    </row>
    <row r="224" spans="1:7">
      <c r="A224" t="str">
        <f>'02_Loan_Portfolio'!A222</f>
        <v>LN00221</v>
      </c>
      <c r="B224" t="str">
        <f>'02_Loan_Portfolio'!E222</f>
        <v>B</v>
      </c>
      <c r="C224">
        <f>'02_Loan_Portfolio'!L222</f>
        <v>0</v>
      </c>
      <c r="D224">
        <f>'02_Loan_Portfolio'!J222</f>
        <v>2.33</v>
      </c>
      <c r="E224">
        <f>'02_Loan_Portfolio'!K222</f>
        <v>4.444</v>
      </c>
      <c r="F224" t="str">
        <f t="shared" si="6"/>
        <v>Amber</v>
      </c>
      <c r="G224" t="str">
        <f t="shared" si="7"/>
        <v>Normal</v>
      </c>
    </row>
    <row r="225" spans="1:7">
      <c r="A225" t="str">
        <f>'02_Loan_Portfolio'!A223</f>
        <v>LN00222</v>
      </c>
      <c r="B225" t="str">
        <f>'02_Loan_Portfolio'!E223</f>
        <v>AA</v>
      </c>
      <c r="C225">
        <f>'02_Loan_Portfolio'!L223</f>
        <v>0</v>
      </c>
      <c r="D225">
        <f>'02_Loan_Portfolio'!J223</f>
        <v>1.3029999999999999</v>
      </c>
      <c r="E225">
        <f>'02_Loan_Portfolio'!K223</f>
        <v>1.516</v>
      </c>
      <c r="F225" t="str">
        <f t="shared" si="6"/>
        <v>Green</v>
      </c>
      <c r="G225" t="str">
        <f t="shared" si="7"/>
        <v>Normal</v>
      </c>
    </row>
    <row r="226" spans="1:7">
      <c r="A226" t="str">
        <f>'02_Loan_Portfolio'!A224</f>
        <v>LN00223</v>
      </c>
      <c r="B226" t="str">
        <f>'02_Loan_Portfolio'!E224</f>
        <v>B</v>
      </c>
      <c r="C226">
        <f>'02_Loan_Portfolio'!L224</f>
        <v>0</v>
      </c>
      <c r="D226">
        <f>'02_Loan_Portfolio'!J224</f>
        <v>1.3580000000000001</v>
      </c>
      <c r="E226">
        <f>'02_Loan_Portfolio'!K224</f>
        <v>5.1660000000000004</v>
      </c>
      <c r="F226" t="str">
        <f t="shared" si="6"/>
        <v>Red</v>
      </c>
      <c r="G226" t="str">
        <f t="shared" si="7"/>
        <v>High leverage</v>
      </c>
    </row>
    <row r="227" spans="1:7">
      <c r="A227" t="str">
        <f>'02_Loan_Portfolio'!A225</f>
        <v>LN00224</v>
      </c>
      <c r="B227" t="str">
        <f>'02_Loan_Portfolio'!E225</f>
        <v>BB</v>
      </c>
      <c r="C227">
        <f>'02_Loan_Portfolio'!L225</f>
        <v>5</v>
      </c>
      <c r="D227">
        <f>'02_Loan_Portfolio'!J225</f>
        <v>2.1760000000000002</v>
      </c>
      <c r="E227">
        <f>'02_Loan_Portfolio'!K225</f>
        <v>1.679</v>
      </c>
      <c r="F227" t="str">
        <f t="shared" si="6"/>
        <v>Amber</v>
      </c>
      <c r="G227" t="str">
        <f t="shared" si="7"/>
        <v>Normal</v>
      </c>
    </row>
    <row r="228" spans="1:7">
      <c r="A228" t="str">
        <f>'02_Loan_Portfolio'!A226</f>
        <v>LN00225</v>
      </c>
      <c r="B228" t="str">
        <f>'02_Loan_Portfolio'!E226</f>
        <v>BBB</v>
      </c>
      <c r="C228">
        <f>'02_Loan_Portfolio'!L226</f>
        <v>5</v>
      </c>
      <c r="D228">
        <f>'02_Loan_Portfolio'!J226</f>
        <v>2.5579999999999998</v>
      </c>
      <c r="E228">
        <f>'02_Loan_Portfolio'!K226</f>
        <v>5.2460000000000004</v>
      </c>
      <c r="F228" t="str">
        <f t="shared" si="6"/>
        <v>Red</v>
      </c>
      <c r="G228" t="str">
        <f t="shared" si="7"/>
        <v>High leverage</v>
      </c>
    </row>
    <row r="229" spans="1:7">
      <c r="A229" t="str">
        <f>'02_Loan_Portfolio'!A227</f>
        <v>LN00226</v>
      </c>
      <c r="B229" t="str">
        <f>'02_Loan_Portfolio'!E227</f>
        <v>BBB</v>
      </c>
      <c r="C229">
        <f>'02_Loan_Portfolio'!L227</f>
        <v>5</v>
      </c>
      <c r="D229">
        <f>'02_Loan_Portfolio'!J227</f>
        <v>2.8109999999999999</v>
      </c>
      <c r="E229">
        <f>'02_Loan_Portfolio'!K227</f>
        <v>3.1150000000000002</v>
      </c>
      <c r="F229" t="str">
        <f t="shared" si="6"/>
        <v>Amber</v>
      </c>
      <c r="G229" t="str">
        <f t="shared" si="7"/>
        <v>Normal</v>
      </c>
    </row>
    <row r="230" spans="1:7">
      <c r="A230" t="str">
        <f>'02_Loan_Portfolio'!A228</f>
        <v>LN00227</v>
      </c>
      <c r="B230" t="str">
        <f>'02_Loan_Portfolio'!E228</f>
        <v>BBB</v>
      </c>
      <c r="C230">
        <f>'02_Loan_Portfolio'!L228</f>
        <v>35</v>
      </c>
      <c r="D230">
        <f>'02_Loan_Portfolio'!J228</f>
        <v>1.9650000000000001</v>
      </c>
      <c r="E230">
        <f>'02_Loan_Portfolio'!K228</f>
        <v>2.9220000000000002</v>
      </c>
      <c r="F230" t="str">
        <f t="shared" si="6"/>
        <v>Red</v>
      </c>
      <c r="G230" t="str">
        <f t="shared" si="7"/>
        <v>DPD deterioration</v>
      </c>
    </row>
    <row r="231" spans="1:7">
      <c r="A231" t="str">
        <f>'02_Loan_Portfolio'!A229</f>
        <v>LN00228</v>
      </c>
      <c r="B231" t="str">
        <f>'02_Loan_Portfolio'!E229</f>
        <v>B</v>
      </c>
      <c r="C231">
        <f>'02_Loan_Portfolio'!L229</f>
        <v>0</v>
      </c>
      <c r="D231">
        <f>'02_Loan_Portfolio'!J229</f>
        <v>1.5069999999999999</v>
      </c>
      <c r="E231">
        <f>'02_Loan_Portfolio'!K229</f>
        <v>5.8289999999999997</v>
      </c>
      <c r="F231" t="str">
        <f t="shared" si="6"/>
        <v>Red</v>
      </c>
      <c r="G231" t="str">
        <f t="shared" si="7"/>
        <v>High leverage</v>
      </c>
    </row>
    <row r="232" spans="1:7">
      <c r="A232" t="str">
        <f>'02_Loan_Portfolio'!A230</f>
        <v>LN00229</v>
      </c>
      <c r="B232" t="str">
        <f>'02_Loan_Portfolio'!E230</f>
        <v>A</v>
      </c>
      <c r="C232">
        <f>'02_Loan_Portfolio'!L230</f>
        <v>0</v>
      </c>
      <c r="D232">
        <f>'02_Loan_Portfolio'!J230</f>
        <v>3.194</v>
      </c>
      <c r="E232">
        <f>'02_Loan_Portfolio'!K230</f>
        <v>0.92700000000000005</v>
      </c>
      <c r="F232" t="str">
        <f t="shared" si="6"/>
        <v>Green</v>
      </c>
      <c r="G232" t="str">
        <f t="shared" si="7"/>
        <v>Normal</v>
      </c>
    </row>
    <row r="233" spans="1:7">
      <c r="A233" t="str">
        <f>'02_Loan_Portfolio'!A231</f>
        <v>LN00230</v>
      </c>
      <c r="B233" t="str">
        <f>'02_Loan_Portfolio'!E231</f>
        <v>BBB</v>
      </c>
      <c r="C233">
        <f>'02_Loan_Portfolio'!L231</f>
        <v>15</v>
      </c>
      <c r="D233">
        <f>'02_Loan_Portfolio'!J231</f>
        <v>2.0390000000000001</v>
      </c>
      <c r="E233">
        <f>'02_Loan_Portfolio'!K231</f>
        <v>5.5350000000000001</v>
      </c>
      <c r="F233" t="str">
        <f t="shared" si="6"/>
        <v>Red</v>
      </c>
      <c r="G233" t="str">
        <f t="shared" si="7"/>
        <v>High leverage</v>
      </c>
    </row>
    <row r="234" spans="1:7">
      <c r="A234" t="str">
        <f>'02_Loan_Portfolio'!A232</f>
        <v>LN00231</v>
      </c>
      <c r="B234" t="str">
        <f>'02_Loan_Portfolio'!E232</f>
        <v>BBB</v>
      </c>
      <c r="C234">
        <f>'02_Loan_Portfolio'!L232</f>
        <v>5</v>
      </c>
      <c r="D234">
        <f>'02_Loan_Portfolio'!J232</f>
        <v>2.3050000000000002</v>
      </c>
      <c r="E234">
        <f>'02_Loan_Portfolio'!K232</f>
        <v>4.43</v>
      </c>
      <c r="F234" t="str">
        <f t="shared" si="6"/>
        <v>Amber</v>
      </c>
      <c r="G234" t="str">
        <f t="shared" si="7"/>
        <v>Normal</v>
      </c>
    </row>
    <row r="235" spans="1:7">
      <c r="A235" t="str">
        <f>'02_Loan_Portfolio'!A233</f>
        <v>LN00232</v>
      </c>
      <c r="B235" t="str">
        <f>'02_Loan_Portfolio'!E233</f>
        <v>A</v>
      </c>
      <c r="C235">
        <f>'02_Loan_Portfolio'!L233</f>
        <v>0</v>
      </c>
      <c r="D235">
        <f>'02_Loan_Portfolio'!J233</f>
        <v>3.085</v>
      </c>
      <c r="E235">
        <f>'02_Loan_Portfolio'!K233</f>
        <v>4.1660000000000004</v>
      </c>
      <c r="F235" t="str">
        <f t="shared" si="6"/>
        <v>Amber</v>
      </c>
      <c r="G235" t="str">
        <f t="shared" si="7"/>
        <v>Normal</v>
      </c>
    </row>
    <row r="236" spans="1:7">
      <c r="A236" t="str">
        <f>'02_Loan_Portfolio'!A234</f>
        <v>LN00233</v>
      </c>
      <c r="B236" t="str">
        <f>'02_Loan_Portfolio'!E234</f>
        <v>CCC</v>
      </c>
      <c r="C236">
        <f>'02_Loan_Portfolio'!L234</f>
        <v>0</v>
      </c>
      <c r="D236">
        <f>'02_Loan_Portfolio'!J234</f>
        <v>1.5249999999999999</v>
      </c>
      <c r="E236">
        <f>'02_Loan_Portfolio'!K234</f>
        <v>3.5049999999999999</v>
      </c>
      <c r="F236" t="str">
        <f t="shared" si="6"/>
        <v>Green</v>
      </c>
      <c r="G236" t="str">
        <f t="shared" si="7"/>
        <v>Normal</v>
      </c>
    </row>
    <row r="237" spans="1:7">
      <c r="A237" t="str">
        <f>'02_Loan_Portfolio'!A235</f>
        <v>LN00234</v>
      </c>
      <c r="B237" t="str">
        <f>'02_Loan_Portfolio'!E235</f>
        <v>B</v>
      </c>
      <c r="C237">
        <f>'02_Loan_Portfolio'!L235</f>
        <v>0</v>
      </c>
      <c r="D237">
        <f>'02_Loan_Portfolio'!J235</f>
        <v>2.0510000000000002</v>
      </c>
      <c r="E237">
        <f>'02_Loan_Portfolio'!K235</f>
        <v>3.399</v>
      </c>
      <c r="F237" t="str">
        <f t="shared" si="6"/>
        <v>Green</v>
      </c>
      <c r="G237" t="str">
        <f t="shared" si="7"/>
        <v>Normal</v>
      </c>
    </row>
    <row r="238" spans="1:7">
      <c r="A238" t="str">
        <f>'02_Loan_Portfolio'!A236</f>
        <v>LN00235</v>
      </c>
      <c r="B238" t="str">
        <f>'02_Loan_Portfolio'!E236</f>
        <v>BB</v>
      </c>
      <c r="C238">
        <f>'02_Loan_Portfolio'!L236</f>
        <v>0</v>
      </c>
      <c r="D238">
        <f>'02_Loan_Portfolio'!J236</f>
        <v>1.111</v>
      </c>
      <c r="E238">
        <f>'02_Loan_Portfolio'!K236</f>
        <v>2.9609999999999999</v>
      </c>
      <c r="F238" t="str">
        <f t="shared" si="6"/>
        <v>Amber</v>
      </c>
      <c r="G238" t="str">
        <f t="shared" si="7"/>
        <v>Normal</v>
      </c>
    </row>
    <row r="239" spans="1:7">
      <c r="A239" t="str">
        <f>'02_Loan_Portfolio'!A237</f>
        <v>LN00236</v>
      </c>
      <c r="B239" t="str">
        <f>'02_Loan_Portfolio'!E237</f>
        <v>A</v>
      </c>
      <c r="C239">
        <f>'02_Loan_Portfolio'!L237</f>
        <v>65</v>
      </c>
      <c r="D239">
        <f>'02_Loan_Portfolio'!J237</f>
        <v>1.446</v>
      </c>
      <c r="E239">
        <f>'02_Loan_Portfolio'!K237</f>
        <v>4.32</v>
      </c>
      <c r="F239" t="str">
        <f t="shared" si="6"/>
        <v>Red</v>
      </c>
      <c r="G239" t="str">
        <f t="shared" si="7"/>
        <v>DPD deterioration</v>
      </c>
    </row>
    <row r="240" spans="1:7">
      <c r="A240" t="str">
        <f>'02_Loan_Portfolio'!A238</f>
        <v>LN00237</v>
      </c>
      <c r="B240" t="str">
        <f>'02_Loan_Portfolio'!E238</f>
        <v>AAA</v>
      </c>
      <c r="C240">
        <f>'02_Loan_Portfolio'!L238</f>
        <v>0</v>
      </c>
      <c r="D240">
        <f>'02_Loan_Portfolio'!J238</f>
        <v>1.5009999999999999</v>
      </c>
      <c r="E240">
        <f>'02_Loan_Portfolio'!K238</f>
        <v>5.2</v>
      </c>
      <c r="F240" t="str">
        <f t="shared" si="6"/>
        <v>Red</v>
      </c>
      <c r="G240" t="str">
        <f t="shared" si="7"/>
        <v>High leverage</v>
      </c>
    </row>
    <row r="241" spans="1:7">
      <c r="A241" t="str">
        <f>'02_Loan_Portfolio'!A239</f>
        <v>LN00238</v>
      </c>
      <c r="B241" t="str">
        <f>'02_Loan_Portfolio'!E239</f>
        <v>B</v>
      </c>
      <c r="C241">
        <f>'02_Loan_Portfolio'!L239</f>
        <v>35</v>
      </c>
      <c r="D241">
        <f>'02_Loan_Portfolio'!J239</f>
        <v>1.782</v>
      </c>
      <c r="E241">
        <f>'02_Loan_Portfolio'!K239</f>
        <v>2.5760000000000001</v>
      </c>
      <c r="F241" t="str">
        <f t="shared" si="6"/>
        <v>Red</v>
      </c>
      <c r="G241" t="str">
        <f t="shared" si="7"/>
        <v>DPD deterioration</v>
      </c>
    </row>
    <row r="242" spans="1:7">
      <c r="A242" t="str">
        <f>'02_Loan_Portfolio'!A240</f>
        <v>LN00239</v>
      </c>
      <c r="B242" t="str">
        <f>'02_Loan_Portfolio'!E240</f>
        <v>CCC</v>
      </c>
      <c r="C242">
        <f>'02_Loan_Portfolio'!L240</f>
        <v>15</v>
      </c>
      <c r="D242">
        <f>'02_Loan_Portfolio'!J240</f>
        <v>2.3079999999999998</v>
      </c>
      <c r="E242">
        <f>'02_Loan_Portfolio'!K240</f>
        <v>4.2839999999999998</v>
      </c>
      <c r="F242" t="str">
        <f t="shared" si="6"/>
        <v>Amber</v>
      </c>
      <c r="G242" t="str">
        <f t="shared" si="7"/>
        <v>Normal</v>
      </c>
    </row>
    <row r="243" spans="1:7">
      <c r="A243" t="str">
        <f>'02_Loan_Portfolio'!A241</f>
        <v>LN00240</v>
      </c>
      <c r="B243" t="str">
        <f>'02_Loan_Portfolio'!E241</f>
        <v>BB</v>
      </c>
      <c r="C243">
        <f>'02_Loan_Portfolio'!L241</f>
        <v>0</v>
      </c>
      <c r="D243">
        <f>'02_Loan_Portfolio'!J241</f>
        <v>0.96599999999999997</v>
      </c>
      <c r="E243">
        <f>'02_Loan_Portfolio'!K241</f>
        <v>1.839</v>
      </c>
      <c r="F243" t="str">
        <f t="shared" si="6"/>
        <v>Red</v>
      </c>
      <c r="G243" t="str">
        <f t="shared" si="7"/>
        <v>DSCR weakness</v>
      </c>
    </row>
    <row r="244" spans="1:7">
      <c r="A244" t="str">
        <f>'02_Loan_Portfolio'!A242</f>
        <v>LN00241</v>
      </c>
      <c r="B244" t="str">
        <f>'02_Loan_Portfolio'!E242</f>
        <v>B</v>
      </c>
      <c r="C244">
        <f>'02_Loan_Portfolio'!L242</f>
        <v>0</v>
      </c>
      <c r="D244">
        <f>'02_Loan_Portfolio'!J242</f>
        <v>1.728</v>
      </c>
      <c r="E244">
        <f>'02_Loan_Portfolio'!K242</f>
        <v>4.3559999999999999</v>
      </c>
      <c r="F244" t="str">
        <f t="shared" si="6"/>
        <v>Amber</v>
      </c>
      <c r="G244" t="str">
        <f t="shared" si="7"/>
        <v>Normal</v>
      </c>
    </row>
    <row r="245" spans="1:7">
      <c r="A245" t="str">
        <f>'02_Loan_Portfolio'!A243</f>
        <v>LN00242</v>
      </c>
      <c r="B245" t="str">
        <f>'02_Loan_Portfolio'!E243</f>
        <v>BB</v>
      </c>
      <c r="C245">
        <f>'02_Loan_Portfolio'!L243</f>
        <v>0</v>
      </c>
      <c r="D245">
        <f>'02_Loan_Portfolio'!J243</f>
        <v>1.3320000000000001</v>
      </c>
      <c r="E245">
        <f>'02_Loan_Portfolio'!K243</f>
        <v>4.9340000000000002</v>
      </c>
      <c r="F245" t="str">
        <f t="shared" si="6"/>
        <v>Amber</v>
      </c>
      <c r="G245" t="str">
        <f t="shared" si="7"/>
        <v>Normal</v>
      </c>
    </row>
    <row r="246" spans="1:7">
      <c r="A246" t="str">
        <f>'02_Loan_Portfolio'!A244</f>
        <v>LN00243</v>
      </c>
      <c r="B246" t="str">
        <f>'02_Loan_Portfolio'!E244</f>
        <v>B</v>
      </c>
      <c r="C246">
        <f>'02_Loan_Portfolio'!L244</f>
        <v>0</v>
      </c>
      <c r="D246">
        <f>'02_Loan_Portfolio'!J244</f>
        <v>2.1880000000000002</v>
      </c>
      <c r="E246">
        <f>'02_Loan_Portfolio'!K244</f>
        <v>1.431</v>
      </c>
      <c r="F246" t="str">
        <f t="shared" si="6"/>
        <v>Green</v>
      </c>
      <c r="G246" t="str">
        <f t="shared" si="7"/>
        <v>Normal</v>
      </c>
    </row>
    <row r="247" spans="1:7">
      <c r="A247" t="str">
        <f>'02_Loan_Portfolio'!A245</f>
        <v>LN00244</v>
      </c>
      <c r="B247" t="str">
        <f>'02_Loan_Portfolio'!E245</f>
        <v>BBB</v>
      </c>
      <c r="C247">
        <f>'02_Loan_Portfolio'!L245</f>
        <v>15</v>
      </c>
      <c r="D247">
        <f>'02_Loan_Portfolio'!J245</f>
        <v>1.6779999999999999</v>
      </c>
      <c r="E247">
        <f>'02_Loan_Portfolio'!K245</f>
        <v>3.4159999999999999</v>
      </c>
      <c r="F247" t="str">
        <f t="shared" si="6"/>
        <v>Amber</v>
      </c>
      <c r="G247" t="str">
        <f t="shared" si="7"/>
        <v>Normal</v>
      </c>
    </row>
    <row r="248" spans="1:7">
      <c r="A248" t="str">
        <f>'02_Loan_Portfolio'!A246</f>
        <v>LN00245</v>
      </c>
      <c r="B248" t="str">
        <f>'02_Loan_Portfolio'!E246</f>
        <v>A</v>
      </c>
      <c r="C248">
        <f>'02_Loan_Portfolio'!L246</f>
        <v>0</v>
      </c>
      <c r="D248">
        <f>'02_Loan_Portfolio'!J246</f>
        <v>1.39</v>
      </c>
      <c r="E248">
        <f>'02_Loan_Portfolio'!K246</f>
        <v>3.407</v>
      </c>
      <c r="F248" t="str">
        <f t="shared" si="6"/>
        <v>Green</v>
      </c>
      <c r="G248" t="str">
        <f t="shared" si="7"/>
        <v>Normal</v>
      </c>
    </row>
    <row r="249" spans="1:7">
      <c r="A249" t="str">
        <f>'02_Loan_Portfolio'!A247</f>
        <v>LN00246</v>
      </c>
      <c r="B249" t="str">
        <f>'02_Loan_Portfolio'!E247</f>
        <v>BBB</v>
      </c>
      <c r="C249">
        <f>'02_Loan_Portfolio'!L247</f>
        <v>0</v>
      </c>
      <c r="D249">
        <f>'02_Loan_Portfolio'!J247</f>
        <v>2.3109999999999999</v>
      </c>
      <c r="E249">
        <f>'02_Loan_Portfolio'!K247</f>
        <v>2.2160000000000002</v>
      </c>
      <c r="F249" t="str">
        <f t="shared" si="6"/>
        <v>Green</v>
      </c>
      <c r="G249" t="str">
        <f t="shared" si="7"/>
        <v>Normal</v>
      </c>
    </row>
    <row r="250" spans="1:7">
      <c r="A250" t="str">
        <f>'02_Loan_Portfolio'!A248</f>
        <v>LN00247</v>
      </c>
      <c r="B250" t="str">
        <f>'02_Loan_Portfolio'!E248</f>
        <v>BBB</v>
      </c>
      <c r="C250">
        <f>'02_Loan_Portfolio'!L248</f>
        <v>0</v>
      </c>
      <c r="D250">
        <f>'02_Loan_Portfolio'!J248</f>
        <v>1.63</v>
      </c>
      <c r="E250">
        <f>'02_Loan_Portfolio'!K248</f>
        <v>1.8</v>
      </c>
      <c r="F250" t="str">
        <f t="shared" si="6"/>
        <v>Green</v>
      </c>
      <c r="G250" t="str">
        <f t="shared" si="7"/>
        <v>Normal</v>
      </c>
    </row>
    <row r="251" spans="1:7">
      <c r="A251" t="str">
        <f>'02_Loan_Portfolio'!A249</f>
        <v>LN00248</v>
      </c>
      <c r="B251" t="str">
        <f>'02_Loan_Portfolio'!E249</f>
        <v>BB</v>
      </c>
      <c r="C251">
        <f>'02_Loan_Portfolio'!L249</f>
        <v>5</v>
      </c>
      <c r="D251">
        <f>'02_Loan_Portfolio'!J249</f>
        <v>0.56200000000000006</v>
      </c>
      <c r="E251">
        <f>'02_Loan_Portfolio'!K249</f>
        <v>3.0350000000000001</v>
      </c>
      <c r="F251" t="str">
        <f t="shared" si="6"/>
        <v>Red</v>
      </c>
      <c r="G251" t="str">
        <f t="shared" si="7"/>
        <v>DSCR weakness</v>
      </c>
    </row>
    <row r="252" spans="1:7">
      <c r="A252" t="str">
        <f>'02_Loan_Portfolio'!A250</f>
        <v>LN00249</v>
      </c>
      <c r="B252" t="str">
        <f>'02_Loan_Portfolio'!E250</f>
        <v>B</v>
      </c>
      <c r="C252">
        <f>'02_Loan_Portfolio'!L250</f>
        <v>0</v>
      </c>
      <c r="D252">
        <f>'02_Loan_Portfolio'!J250</f>
        <v>1.3620000000000001</v>
      </c>
      <c r="E252">
        <f>'02_Loan_Portfolio'!K250</f>
        <v>6.819</v>
      </c>
      <c r="F252" t="str">
        <f t="shared" si="6"/>
        <v>Red</v>
      </c>
      <c r="G252" t="str">
        <f t="shared" si="7"/>
        <v>High leverage</v>
      </c>
    </row>
    <row r="253" spans="1:7">
      <c r="A253" t="str">
        <f>'02_Loan_Portfolio'!A251</f>
        <v>LN00250</v>
      </c>
      <c r="B253" t="str">
        <f>'02_Loan_Portfolio'!E251</f>
        <v>BB</v>
      </c>
      <c r="C253">
        <f>'02_Loan_Portfolio'!L251</f>
        <v>0</v>
      </c>
      <c r="D253">
        <f>'02_Loan_Portfolio'!J251</f>
        <v>2.0179999999999998</v>
      </c>
      <c r="E253">
        <f>'02_Loan_Portfolio'!K251</f>
        <v>5.3460000000000001</v>
      </c>
      <c r="F253" t="str">
        <f t="shared" si="6"/>
        <v>Red</v>
      </c>
      <c r="G253" t="str">
        <f t="shared" si="7"/>
        <v>High leverage</v>
      </c>
    </row>
  </sheetData>
  <mergeCells count="1">
    <mergeCell ref="A1:F1"/>
  </mergeCells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9"/>
  <sheetViews>
    <sheetView workbookViewId="0"/>
  </sheetViews>
  <sheetFormatPr defaultRowHeight="14.25"/>
  <cols>
    <col min="1" max="6" width="22" customWidth="1"/>
  </cols>
  <sheetData>
    <row r="1" spans="1:8" ht="18">
      <c r="A1" s="15" t="s">
        <v>398</v>
      </c>
      <c r="B1" s="16"/>
      <c r="C1" s="16"/>
      <c r="D1" s="16"/>
      <c r="E1" s="16"/>
      <c r="F1" s="16"/>
      <c r="G1" s="16"/>
      <c r="H1" s="16"/>
    </row>
    <row r="3" spans="1:8" ht="15">
      <c r="A3" s="1" t="s">
        <v>399</v>
      </c>
      <c r="B3" s="1" t="s">
        <v>341</v>
      </c>
      <c r="C3" s="1" t="s">
        <v>400</v>
      </c>
      <c r="D3" s="1" t="s">
        <v>342</v>
      </c>
      <c r="E3" s="1" t="s">
        <v>370</v>
      </c>
      <c r="F3" s="1" t="s">
        <v>401</v>
      </c>
    </row>
    <row r="4" spans="1:8">
      <c r="A4" t="s">
        <v>402</v>
      </c>
      <c r="B4" t="s">
        <v>348</v>
      </c>
      <c r="C4" t="s">
        <v>403</v>
      </c>
      <c r="D4" s="12">
        <v>0.78</v>
      </c>
      <c r="E4" t="s">
        <v>404</v>
      </c>
      <c r="F4" t="s">
        <v>405</v>
      </c>
    </row>
    <row r="5" spans="1:8">
      <c r="A5" t="s">
        <v>402</v>
      </c>
      <c r="B5" t="s">
        <v>354</v>
      </c>
      <c r="C5" t="s">
        <v>406</v>
      </c>
      <c r="D5" s="12">
        <f>2*D4-1</f>
        <v>0.56000000000000005</v>
      </c>
      <c r="E5" t="s">
        <v>404</v>
      </c>
      <c r="F5" t="s">
        <v>405</v>
      </c>
    </row>
    <row r="6" spans="1:8">
      <c r="A6" t="s">
        <v>407</v>
      </c>
      <c r="B6" t="s">
        <v>359</v>
      </c>
      <c r="C6" t="s">
        <v>408</v>
      </c>
      <c r="D6" s="12">
        <v>0.42</v>
      </c>
      <c r="E6" t="s">
        <v>404</v>
      </c>
      <c r="F6" t="s">
        <v>405</v>
      </c>
    </row>
    <row r="7" spans="1:8">
      <c r="A7" t="s">
        <v>409</v>
      </c>
      <c r="B7" t="s">
        <v>364</v>
      </c>
      <c r="C7" t="s">
        <v>410</v>
      </c>
      <c r="D7" s="12">
        <v>0.08</v>
      </c>
      <c r="E7" t="s">
        <v>404</v>
      </c>
      <c r="F7" t="s">
        <v>411</v>
      </c>
    </row>
    <row r="8" spans="1:8">
      <c r="A8" t="s">
        <v>412</v>
      </c>
      <c r="B8" t="s">
        <v>413</v>
      </c>
      <c r="C8" t="s">
        <v>414</v>
      </c>
      <c r="D8" s="12">
        <v>0.09</v>
      </c>
      <c r="E8" t="s">
        <v>415</v>
      </c>
      <c r="F8" t="s">
        <v>405</v>
      </c>
    </row>
    <row r="9" spans="1:8">
      <c r="A9" t="s">
        <v>416</v>
      </c>
      <c r="B9" t="s">
        <v>417</v>
      </c>
      <c r="C9" t="s">
        <v>418</v>
      </c>
      <c r="D9" t="s">
        <v>419</v>
      </c>
      <c r="E9" t="s">
        <v>404</v>
      </c>
      <c r="F9" t="s">
        <v>420</v>
      </c>
    </row>
  </sheetData>
  <mergeCells count="1">
    <mergeCell ref="A1:H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15"/>
  <sheetViews>
    <sheetView workbookViewId="0"/>
  </sheetViews>
  <sheetFormatPr defaultRowHeight="14.25"/>
  <cols>
    <col min="1" max="4" width="26" customWidth="1"/>
  </cols>
  <sheetData>
    <row r="1" spans="1:8" ht="20.25">
      <c r="A1" s="17" t="s">
        <v>421</v>
      </c>
      <c r="B1" s="18"/>
      <c r="C1" s="18"/>
      <c r="D1" s="19"/>
      <c r="E1" s="16"/>
      <c r="F1" s="16"/>
      <c r="G1" s="16"/>
      <c r="H1" s="16"/>
    </row>
    <row r="3" spans="1:8" ht="15">
      <c r="A3" s="3" t="s">
        <v>422</v>
      </c>
      <c r="B3" s="13">
        <f>SUM('02_Loan_Portfolio'!P2:P251)</f>
        <v>427296172686485</v>
      </c>
    </row>
    <row r="4" spans="1:8" ht="15">
      <c r="A4" s="3" t="s">
        <v>423</v>
      </c>
      <c r="B4" s="13">
        <f>SUM('04_IFRS9_ECL'!H2:H251)</f>
        <v>29558724710168.914</v>
      </c>
    </row>
    <row r="5" spans="1:8" ht="15">
      <c r="A5" s="3" t="s">
        <v>424</v>
      </c>
      <c r="B5" s="14">
        <f>SUMPRODUCT('02_Loan_Portfolio'!N2:N251,'02_Loan_Portfolio'!P2:P251)/SUM('02_Loan_Portfolio'!P2:P251)</f>
        <v>8.8887509724670521E-2</v>
      </c>
    </row>
    <row r="6" spans="1:8" ht="15">
      <c r="A6" s="3" t="s">
        <v>425</v>
      </c>
      <c r="B6" s="14">
        <f>SUMPRODUCT('02_Loan_Portfolio'!O2:O251,'02_Loan_Portfolio'!P2:P251)/SUM('02_Loan_Portfolio'!P2:P251)</f>
        <v>0.55041643339678425</v>
      </c>
    </row>
    <row r="7" spans="1:8" ht="15">
      <c r="A7" s="3" t="s">
        <v>426</v>
      </c>
      <c r="B7" s="14">
        <f>SUMIF('02_Loan_Portfolio'!Q2:Q251,2,'02_Loan_Portfolio'!P2:P251)/SUM('02_Loan_Portfolio'!P2:P251)</f>
        <v>0.24381358699329192</v>
      </c>
    </row>
    <row r="8" spans="1:8" ht="15">
      <c r="A8" s="3" t="s">
        <v>427</v>
      </c>
      <c r="B8" s="14">
        <f>SUMIF('02_Loan_Portfolio'!Q2:Q251,3,'02_Loan_Portfolio'!P2:P251)/SUM('02_Loan_Portfolio'!P2:P251)</f>
        <v>1.0802926076629943E-2</v>
      </c>
    </row>
    <row r="9" spans="1:8" ht="15">
      <c r="A9" s="3" t="s">
        <v>428</v>
      </c>
      <c r="B9" s="3">
        <f>'05_Stress_Test'!F12</f>
        <v>1.4700000000000002</v>
      </c>
    </row>
    <row r="10" spans="1:8" ht="60">
      <c r="A10" s="3" t="s">
        <v>429</v>
      </c>
      <c r="B10" s="4" t="str">
        <f>"Tighten monitoring for Stage 2, high DPD, weak DSCR and high leverage borrowers"</f>
        <v>Tighten monitoring for Stage 2, high DPD, weak DSCR and high leverage borrowers</v>
      </c>
    </row>
    <row r="12" spans="1:8" ht="15">
      <c r="A12" s="1" t="s">
        <v>381</v>
      </c>
      <c r="B12" s="1" t="s">
        <v>389</v>
      </c>
      <c r="C12" s="1" t="s">
        <v>390</v>
      </c>
      <c r="D12" s="1" t="s">
        <v>392</v>
      </c>
    </row>
    <row r="13" spans="1:8">
      <c r="A13" t="str">
        <f>'05_Stress_Test'!A10</f>
        <v>Base</v>
      </c>
      <c r="B13">
        <f>'05_Stress_Test'!B10</f>
        <v>8.8887509724670521E-2</v>
      </c>
      <c r="C13">
        <f>'05_Stress_Test'!C10</f>
        <v>0.55041643339678425</v>
      </c>
      <c r="D13">
        <f>'05_Stress_Test'!E10</f>
        <v>20905527666476.828</v>
      </c>
    </row>
    <row r="14" spans="1:8">
      <c r="A14" t="str">
        <f>'05_Stress_Test'!A11</f>
        <v>Mild Stress</v>
      </c>
      <c r="B14">
        <f>'05_Stress_Test'!B11</f>
        <v>0.11999813812830522</v>
      </c>
      <c r="C14">
        <f>'05_Stress_Test'!C11</f>
        <v>0.60545807673646268</v>
      </c>
      <c r="D14">
        <f>'05_Stress_Test'!E11</f>
        <v>31044708584718.094</v>
      </c>
    </row>
    <row r="15" spans="1:8">
      <c r="A15" t="str">
        <f>'05_Stress_Test'!A12</f>
        <v>Severe Stress</v>
      </c>
      <c r="B15">
        <f>'05_Stress_Test'!B12</f>
        <v>0.16888626847687399</v>
      </c>
      <c r="C15">
        <f>'05_Stress_Test'!C12</f>
        <v>0.71554136341581953</v>
      </c>
      <c r="D15">
        <f>'05_Stress_Test'!E12</f>
        <v>51636653336197.773</v>
      </c>
    </row>
  </sheetData>
  <mergeCells count="1">
    <mergeCell ref="A1:H1"/>
  </mergeCell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10"/>
  <sheetViews>
    <sheetView workbookViewId="0"/>
  </sheetViews>
  <sheetFormatPr defaultRowHeight="14.25"/>
  <cols>
    <col min="1" max="1" width="36" customWidth="1"/>
    <col min="2" max="2" width="90" customWidth="1"/>
  </cols>
  <sheetData>
    <row r="1" spans="1:6" ht="18">
      <c r="A1" s="15" t="s">
        <v>430</v>
      </c>
      <c r="B1" s="16"/>
      <c r="C1" s="16"/>
      <c r="D1" s="16"/>
      <c r="E1" s="16"/>
      <c r="F1" s="16"/>
    </row>
    <row r="3" spans="1:6" ht="15">
      <c r="A3" s="1" t="s">
        <v>431</v>
      </c>
      <c r="B3" s="1" t="s">
        <v>432</v>
      </c>
    </row>
    <row r="4" spans="1:6">
      <c r="A4" s="5" t="s">
        <v>433</v>
      </c>
      <c r="B4" s="5" t="s">
        <v>434</v>
      </c>
    </row>
    <row r="5" spans="1:6">
      <c r="A5" s="5" t="s">
        <v>435</v>
      </c>
      <c r="B5" s="5" t="s">
        <v>436</v>
      </c>
    </row>
    <row r="6" spans="1:6">
      <c r="A6" s="5" t="s">
        <v>437</v>
      </c>
      <c r="B6" s="5" t="s">
        <v>438</v>
      </c>
    </row>
    <row r="7" spans="1:6">
      <c r="A7" s="5" t="s">
        <v>439</v>
      </c>
      <c r="B7" s="5" t="s">
        <v>440</v>
      </c>
    </row>
    <row r="8" spans="1:6">
      <c r="A8" s="5" t="s">
        <v>441</v>
      </c>
      <c r="B8" s="5" t="s">
        <v>442</v>
      </c>
    </row>
    <row r="9" spans="1:6">
      <c r="A9" s="5" t="s">
        <v>443</v>
      </c>
      <c r="B9" s="5" t="s">
        <v>444</v>
      </c>
    </row>
    <row r="10" spans="1:6">
      <c r="A10" s="5" t="s">
        <v>445</v>
      </c>
      <c r="B10" s="5" t="s">
        <v>446</v>
      </c>
    </row>
  </sheetData>
  <mergeCells count="1">
    <mergeCell ref="A1:F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6"/>
  <sheetViews>
    <sheetView workbookViewId="0"/>
  </sheetViews>
  <sheetFormatPr defaultRowHeight="14.25"/>
  <cols>
    <col min="1" max="3" width="45" customWidth="1"/>
  </cols>
  <sheetData>
    <row r="1" spans="1:3" ht="15">
      <c r="A1" s="1" t="s">
        <v>447</v>
      </c>
      <c r="B1" s="1" t="s">
        <v>448</v>
      </c>
      <c r="C1" s="1" t="s">
        <v>449</v>
      </c>
    </row>
    <row r="2" spans="1:3" ht="28.5">
      <c r="A2" s="5" t="s">
        <v>450</v>
      </c>
      <c r="B2" s="5" t="s">
        <v>451</v>
      </c>
      <c r="C2" s="5" t="s">
        <v>452</v>
      </c>
    </row>
    <row r="3" spans="1:3">
      <c r="A3" s="5" t="s">
        <v>453</v>
      </c>
      <c r="B3" s="5" t="s">
        <v>454</v>
      </c>
      <c r="C3" s="5" t="s">
        <v>455</v>
      </c>
    </row>
    <row r="4" spans="1:3" ht="28.5">
      <c r="A4" s="5" t="s">
        <v>456</v>
      </c>
      <c r="B4" s="5" t="s">
        <v>457</v>
      </c>
      <c r="C4" s="5" t="s">
        <v>458</v>
      </c>
    </row>
    <row r="5" spans="1:3">
      <c r="A5" s="5" t="s">
        <v>459</v>
      </c>
      <c r="B5" s="5" t="s">
        <v>460</v>
      </c>
      <c r="C5" s="5" t="s">
        <v>461</v>
      </c>
    </row>
    <row r="6" spans="1:3">
      <c r="A6" s="5" t="s">
        <v>28</v>
      </c>
      <c r="B6" s="5" t="s">
        <v>462</v>
      </c>
      <c r="C6" s="5" t="s">
        <v>463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00_Readme</vt:lpstr>
      <vt:lpstr>01_Macro_Input</vt:lpstr>
      <vt:lpstr>02_Loan_Portfolio</vt:lpstr>
      <vt:lpstr>03_PD_Model</vt:lpstr>
      <vt:lpstr>04_IFRS9_ECL</vt:lpstr>
      <vt:lpstr>05_Stress_Test</vt:lpstr>
      <vt:lpstr>06_Early_Warning</vt:lpstr>
      <vt:lpstr>07_Model_Validation</vt:lpstr>
      <vt:lpstr>08_Dashboard</vt:lpstr>
      <vt:lpstr>09_Governance</vt:lpstr>
      <vt:lpstr>10_Sources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 Hoang Quan</cp:lastModifiedBy>
  <dcterms:modified xsi:type="dcterms:W3CDTF">2026-05-29T07:24:32Z</dcterms:modified>
</cp:coreProperties>
</file>